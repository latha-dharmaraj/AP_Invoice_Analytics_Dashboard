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ma\Documents\DA-Project-Excel-Github\"/>
    </mc:Choice>
  </mc:AlternateContent>
  <xr:revisionPtr revIDLastSave="0" documentId="13_ncr:1_{6F1262BF-820E-4B31-BBC2-4FEB1A82EC8B}" xr6:coauthVersionLast="47" xr6:coauthVersionMax="47" xr10:uidLastSave="{00000000-0000-0000-0000-000000000000}"/>
  <bookViews>
    <workbookView xWindow="-108" yWindow="-108" windowWidth="23256" windowHeight="12456" xr2:uid="{00000000-000D-0000-FFFF-FFFF00000000}"/>
  </bookViews>
  <sheets>
    <sheet name="Dashboard" sheetId="10" r:id="rId1"/>
    <sheet name="Pivot_tbl" sheetId="13" r:id="rId2"/>
    <sheet name="KPI&amp;Filters" sheetId="7" r:id="rId3"/>
    <sheet name="Raw_Invoice_Data" sheetId="1" r:id="rId4"/>
  </sheets>
  <definedNames>
    <definedName name="Slicer_Category">#N/A</definedName>
    <definedName name="Slicer_Country">#N/A</definedName>
    <definedName name="Slicer_Currency">#N/A</definedName>
    <definedName name="Slicer_Department">#N/A</definedName>
    <definedName name="Slicer_Payment_Status">#N/A</definedName>
    <definedName name="Slicer_Vendor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7" l="1"/>
  <c r="E15" i="7"/>
  <c r="J3" i="7"/>
  <c r="F2" i="1"/>
  <c r="P2" i="1"/>
  <c r="F3" i="1"/>
  <c r="P3" i="1"/>
  <c r="F4" i="1"/>
  <c r="P4" i="1"/>
  <c r="F5" i="1"/>
  <c r="P5" i="1"/>
  <c r="F6" i="1"/>
  <c r="P6" i="1"/>
  <c r="F7" i="1"/>
  <c r="P7" i="1"/>
  <c r="F8" i="1"/>
  <c r="P8" i="1"/>
  <c r="F9" i="1"/>
  <c r="P9" i="1"/>
  <c r="F10" i="1"/>
  <c r="P10" i="1"/>
  <c r="F11" i="1"/>
  <c r="P11" i="1"/>
  <c r="F12" i="1"/>
  <c r="P12" i="1"/>
  <c r="F13" i="1"/>
  <c r="P13" i="1"/>
  <c r="F14" i="1"/>
  <c r="P14" i="1"/>
  <c r="F15" i="1"/>
  <c r="P15" i="1"/>
  <c r="F16" i="1"/>
  <c r="P16" i="1"/>
  <c r="F17" i="1"/>
  <c r="P17" i="1"/>
  <c r="F18" i="1"/>
  <c r="P18" i="1"/>
  <c r="F19" i="1"/>
  <c r="P19" i="1"/>
  <c r="F20" i="1"/>
  <c r="P20" i="1"/>
  <c r="F21" i="1"/>
  <c r="P21" i="1"/>
  <c r="F22" i="1"/>
  <c r="P22" i="1"/>
  <c r="F23" i="1"/>
  <c r="P23" i="1"/>
  <c r="F24" i="1"/>
  <c r="P24" i="1"/>
  <c r="F25" i="1"/>
  <c r="P25" i="1"/>
  <c r="F26" i="1"/>
  <c r="P26" i="1"/>
  <c r="F27" i="1"/>
  <c r="P27" i="1"/>
  <c r="F28" i="1"/>
  <c r="P28" i="1"/>
  <c r="F29" i="1"/>
  <c r="P29" i="1"/>
  <c r="F30" i="1"/>
  <c r="P30" i="1"/>
  <c r="F31" i="1"/>
  <c r="P31" i="1"/>
  <c r="F32" i="1"/>
  <c r="P32" i="1"/>
  <c r="F33" i="1"/>
  <c r="P33" i="1"/>
  <c r="F34" i="1"/>
  <c r="P34" i="1"/>
  <c r="F35" i="1"/>
  <c r="P35" i="1"/>
  <c r="F36" i="1"/>
  <c r="P36" i="1"/>
  <c r="F37" i="1"/>
  <c r="P37" i="1"/>
  <c r="F38" i="1"/>
  <c r="P38" i="1"/>
  <c r="F39" i="1"/>
  <c r="P39" i="1"/>
  <c r="F40" i="1"/>
  <c r="P40" i="1"/>
  <c r="F41" i="1"/>
  <c r="P41" i="1"/>
  <c r="F42" i="1"/>
  <c r="P42" i="1"/>
  <c r="F43" i="1"/>
  <c r="P43" i="1"/>
  <c r="F44" i="1"/>
  <c r="P44" i="1"/>
  <c r="F45" i="1"/>
  <c r="P45" i="1"/>
  <c r="F46" i="1"/>
  <c r="P46" i="1"/>
  <c r="F47" i="1"/>
  <c r="P47" i="1"/>
  <c r="F48" i="1"/>
  <c r="P48" i="1"/>
  <c r="F49" i="1"/>
  <c r="P49" i="1"/>
  <c r="F50" i="1"/>
  <c r="P50" i="1"/>
  <c r="F51" i="1"/>
  <c r="P51" i="1"/>
  <c r="F52" i="1"/>
  <c r="P52" i="1"/>
  <c r="F53" i="1"/>
  <c r="P53" i="1"/>
  <c r="F54" i="1"/>
  <c r="P54" i="1"/>
  <c r="F55" i="1"/>
  <c r="P55" i="1"/>
  <c r="F56" i="1"/>
  <c r="P56" i="1"/>
  <c r="F57" i="1"/>
  <c r="P57" i="1"/>
  <c r="F58" i="1"/>
  <c r="P58" i="1"/>
  <c r="F59" i="1"/>
  <c r="P59" i="1"/>
  <c r="F60" i="1"/>
  <c r="P60" i="1"/>
  <c r="F61" i="1"/>
  <c r="P61" i="1"/>
  <c r="F62" i="1"/>
  <c r="P62" i="1"/>
  <c r="F63" i="1"/>
  <c r="P63" i="1"/>
  <c r="F64" i="1"/>
  <c r="P64" i="1"/>
  <c r="F65" i="1"/>
  <c r="P65" i="1"/>
  <c r="F66" i="1"/>
  <c r="P66" i="1"/>
  <c r="F67" i="1"/>
  <c r="P67" i="1"/>
  <c r="F68" i="1"/>
  <c r="P68" i="1"/>
  <c r="F69" i="1"/>
  <c r="P69" i="1"/>
  <c r="F70" i="1"/>
  <c r="P70" i="1"/>
  <c r="F71" i="1"/>
  <c r="P71" i="1"/>
  <c r="F72" i="1"/>
  <c r="P72" i="1"/>
  <c r="F73" i="1"/>
  <c r="P73" i="1"/>
  <c r="F74" i="1"/>
  <c r="P74" i="1"/>
  <c r="F75" i="1"/>
  <c r="P75" i="1"/>
  <c r="F76" i="1"/>
  <c r="P76" i="1"/>
  <c r="F77" i="1"/>
  <c r="P77" i="1"/>
  <c r="F78" i="1"/>
  <c r="P78" i="1"/>
  <c r="F79" i="1"/>
  <c r="P79" i="1"/>
  <c r="F80" i="1"/>
  <c r="P80" i="1"/>
  <c r="F81" i="1"/>
  <c r="P81" i="1"/>
  <c r="F82" i="1"/>
  <c r="P82" i="1"/>
  <c r="F83" i="1"/>
  <c r="P83" i="1"/>
  <c r="F84" i="1"/>
  <c r="P84" i="1"/>
  <c r="F85" i="1"/>
  <c r="P85" i="1"/>
  <c r="F86" i="1"/>
  <c r="P86" i="1"/>
  <c r="F87" i="1"/>
  <c r="P87" i="1"/>
  <c r="F88" i="1"/>
  <c r="P88" i="1"/>
  <c r="F89" i="1"/>
  <c r="P89" i="1"/>
  <c r="F90" i="1"/>
  <c r="P90" i="1"/>
  <c r="F91" i="1"/>
  <c r="P91" i="1"/>
  <c r="F92" i="1"/>
  <c r="P92" i="1"/>
  <c r="F93" i="1"/>
  <c r="P93" i="1"/>
  <c r="F94" i="1"/>
  <c r="P94" i="1"/>
  <c r="F95" i="1"/>
  <c r="P95" i="1"/>
  <c r="F96" i="1"/>
  <c r="P96" i="1"/>
  <c r="F97" i="1"/>
  <c r="P97" i="1"/>
  <c r="F98" i="1"/>
  <c r="P98" i="1"/>
  <c r="F99" i="1"/>
  <c r="P99" i="1"/>
  <c r="F100" i="1"/>
  <c r="P100" i="1"/>
  <c r="F101" i="1"/>
  <c r="P101" i="1"/>
  <c r="F102" i="1"/>
  <c r="P102" i="1"/>
  <c r="F103" i="1"/>
  <c r="P103" i="1"/>
  <c r="F104" i="1"/>
  <c r="P104" i="1"/>
  <c r="F105" i="1"/>
  <c r="P105" i="1"/>
  <c r="F106" i="1"/>
  <c r="P106" i="1"/>
  <c r="F107" i="1"/>
  <c r="P107" i="1"/>
  <c r="F108" i="1"/>
  <c r="P108" i="1"/>
  <c r="F109" i="1"/>
  <c r="P109" i="1"/>
  <c r="F110" i="1"/>
  <c r="P110" i="1"/>
  <c r="F111" i="1"/>
  <c r="P111" i="1"/>
  <c r="F112" i="1"/>
  <c r="P112" i="1"/>
  <c r="F113" i="1"/>
  <c r="P113" i="1"/>
  <c r="F114" i="1"/>
  <c r="P114" i="1"/>
  <c r="F115" i="1"/>
  <c r="P115" i="1"/>
  <c r="F116" i="1"/>
  <c r="P116" i="1"/>
  <c r="F117" i="1"/>
  <c r="P117" i="1"/>
  <c r="F118" i="1"/>
  <c r="P118" i="1"/>
  <c r="F119" i="1"/>
  <c r="P119" i="1"/>
  <c r="F120" i="1"/>
  <c r="P120" i="1"/>
  <c r="F121" i="1"/>
  <c r="P121" i="1"/>
  <c r="F122" i="1"/>
  <c r="P122" i="1"/>
  <c r="F123" i="1"/>
  <c r="P123" i="1"/>
  <c r="F124" i="1"/>
  <c r="P124" i="1"/>
  <c r="F125" i="1"/>
  <c r="P125" i="1"/>
  <c r="F126" i="1"/>
  <c r="P126" i="1"/>
  <c r="F127" i="1"/>
  <c r="P127" i="1"/>
  <c r="F128" i="1"/>
  <c r="P128" i="1"/>
  <c r="F129" i="1"/>
  <c r="P129" i="1"/>
  <c r="F130" i="1"/>
  <c r="P130" i="1"/>
  <c r="F131" i="1"/>
  <c r="P131" i="1"/>
  <c r="F132" i="1"/>
  <c r="P132" i="1"/>
  <c r="F133" i="1"/>
  <c r="P133" i="1"/>
  <c r="F134" i="1"/>
  <c r="P134" i="1"/>
  <c r="F135" i="1"/>
  <c r="P135" i="1"/>
  <c r="F136" i="1"/>
  <c r="P136" i="1"/>
  <c r="F137" i="1"/>
  <c r="P137" i="1"/>
  <c r="F138" i="1"/>
  <c r="P138" i="1"/>
  <c r="F139" i="1"/>
  <c r="P139" i="1"/>
  <c r="F140" i="1"/>
  <c r="P140" i="1"/>
  <c r="F141" i="1"/>
  <c r="P141" i="1"/>
  <c r="F142" i="1"/>
  <c r="P142" i="1"/>
  <c r="F143" i="1"/>
  <c r="P143" i="1"/>
  <c r="F144" i="1"/>
  <c r="P144" i="1"/>
  <c r="F145" i="1"/>
  <c r="P145" i="1"/>
  <c r="F146" i="1"/>
  <c r="P146" i="1"/>
  <c r="F147" i="1"/>
  <c r="P147" i="1"/>
  <c r="F148" i="1"/>
  <c r="P148" i="1"/>
  <c r="F149" i="1"/>
  <c r="P149" i="1"/>
  <c r="F150" i="1"/>
  <c r="P150" i="1"/>
  <c r="F151" i="1"/>
  <c r="P151" i="1"/>
  <c r="F152" i="1"/>
  <c r="P152" i="1"/>
  <c r="F153" i="1"/>
  <c r="P153" i="1"/>
  <c r="F154" i="1"/>
  <c r="P154" i="1"/>
  <c r="F155" i="1"/>
  <c r="P155" i="1"/>
  <c r="F156" i="1"/>
  <c r="P156" i="1"/>
  <c r="F157" i="1"/>
  <c r="P157" i="1"/>
  <c r="F158" i="1"/>
  <c r="P158" i="1"/>
  <c r="F159" i="1"/>
  <c r="P159" i="1"/>
  <c r="F160" i="1"/>
  <c r="P160" i="1"/>
  <c r="F161" i="1"/>
  <c r="P161" i="1"/>
  <c r="F162" i="1"/>
  <c r="P162" i="1"/>
  <c r="F163" i="1"/>
  <c r="P163" i="1"/>
  <c r="F164" i="1"/>
  <c r="P164" i="1"/>
  <c r="F165" i="1"/>
  <c r="P165" i="1"/>
  <c r="F166" i="1"/>
  <c r="P166" i="1"/>
  <c r="F167" i="1"/>
  <c r="P167" i="1"/>
  <c r="F168" i="1"/>
  <c r="P168" i="1"/>
  <c r="F169" i="1"/>
  <c r="P169" i="1"/>
  <c r="F170" i="1"/>
  <c r="P170" i="1"/>
  <c r="F171" i="1"/>
  <c r="P171" i="1"/>
  <c r="F172" i="1"/>
  <c r="P172" i="1"/>
  <c r="F173" i="1"/>
  <c r="P173" i="1"/>
  <c r="F174" i="1"/>
  <c r="P174" i="1"/>
  <c r="F175" i="1"/>
  <c r="P175" i="1"/>
  <c r="F176" i="1"/>
  <c r="P176" i="1"/>
  <c r="F177" i="1"/>
  <c r="P177" i="1"/>
  <c r="F178" i="1"/>
  <c r="P178" i="1"/>
  <c r="F179" i="1"/>
  <c r="P179" i="1"/>
  <c r="F180" i="1"/>
  <c r="P180" i="1"/>
  <c r="F181" i="1"/>
  <c r="P181" i="1"/>
  <c r="F182" i="1"/>
  <c r="P182" i="1"/>
  <c r="F183" i="1"/>
  <c r="P183" i="1"/>
  <c r="F184" i="1"/>
  <c r="P184" i="1"/>
  <c r="F185" i="1"/>
  <c r="P185" i="1"/>
  <c r="F186" i="1"/>
  <c r="P186" i="1"/>
  <c r="F187" i="1"/>
  <c r="P187" i="1"/>
  <c r="F188" i="1"/>
  <c r="P188" i="1"/>
  <c r="F189" i="1"/>
  <c r="P189" i="1"/>
  <c r="F190" i="1"/>
  <c r="P190" i="1"/>
  <c r="F191" i="1"/>
  <c r="P191" i="1"/>
  <c r="F192" i="1"/>
  <c r="P192" i="1"/>
  <c r="F193" i="1"/>
  <c r="P193" i="1"/>
  <c r="F194" i="1"/>
  <c r="P194" i="1"/>
  <c r="F195" i="1"/>
  <c r="P195" i="1"/>
  <c r="F196" i="1"/>
  <c r="P196" i="1"/>
  <c r="F197" i="1"/>
  <c r="P197" i="1"/>
  <c r="F198" i="1"/>
  <c r="P198" i="1"/>
  <c r="F199" i="1"/>
  <c r="P199" i="1"/>
  <c r="F200" i="1"/>
  <c r="P200" i="1"/>
  <c r="F201" i="1"/>
  <c r="P201" i="1"/>
  <c r="F202" i="1"/>
  <c r="P202" i="1"/>
  <c r="F203" i="1"/>
  <c r="P203" i="1"/>
  <c r="F204" i="1"/>
  <c r="P204" i="1"/>
  <c r="F205" i="1"/>
  <c r="P205" i="1"/>
  <c r="F206" i="1"/>
  <c r="P206" i="1"/>
  <c r="F207" i="1"/>
  <c r="P207" i="1"/>
  <c r="F208" i="1"/>
  <c r="P208" i="1"/>
  <c r="F209" i="1"/>
  <c r="P209" i="1"/>
  <c r="F210" i="1"/>
  <c r="P210" i="1"/>
  <c r="F211" i="1"/>
  <c r="P211" i="1"/>
  <c r="F212" i="1"/>
  <c r="P212" i="1"/>
  <c r="F213" i="1"/>
  <c r="P213" i="1"/>
  <c r="F214" i="1"/>
  <c r="P214" i="1"/>
  <c r="F215" i="1"/>
  <c r="P215" i="1"/>
  <c r="F216" i="1"/>
  <c r="P216" i="1"/>
  <c r="F217" i="1"/>
  <c r="P217" i="1"/>
  <c r="F218" i="1"/>
  <c r="P218" i="1"/>
  <c r="F219" i="1"/>
  <c r="P219" i="1"/>
  <c r="F220" i="1"/>
  <c r="P220" i="1"/>
  <c r="F221" i="1"/>
  <c r="P221" i="1"/>
  <c r="F222" i="1"/>
  <c r="P222" i="1"/>
  <c r="F223" i="1"/>
  <c r="P223" i="1"/>
  <c r="F224" i="1"/>
  <c r="P224" i="1"/>
  <c r="F225" i="1"/>
  <c r="P225" i="1"/>
  <c r="F226" i="1"/>
  <c r="P226" i="1"/>
  <c r="F227" i="1"/>
  <c r="P227" i="1"/>
  <c r="F228" i="1"/>
  <c r="P228" i="1"/>
  <c r="F229" i="1"/>
  <c r="P229" i="1"/>
  <c r="F230" i="1"/>
  <c r="P230" i="1"/>
  <c r="F231" i="1"/>
  <c r="P231" i="1"/>
  <c r="F232" i="1"/>
  <c r="P232" i="1"/>
  <c r="F233" i="1"/>
  <c r="P233" i="1"/>
  <c r="F234" i="1"/>
  <c r="P234" i="1"/>
  <c r="F235" i="1"/>
  <c r="P235" i="1"/>
  <c r="F236" i="1"/>
  <c r="P236" i="1"/>
  <c r="F237" i="1"/>
  <c r="P237" i="1"/>
  <c r="F238" i="1"/>
  <c r="P238" i="1"/>
  <c r="F239" i="1"/>
  <c r="P239" i="1"/>
  <c r="F240" i="1"/>
  <c r="P240" i="1"/>
  <c r="F241" i="1"/>
  <c r="P241" i="1"/>
  <c r="F242" i="1"/>
  <c r="P242" i="1"/>
  <c r="F243" i="1"/>
  <c r="P243" i="1"/>
  <c r="F244" i="1"/>
  <c r="P244" i="1"/>
  <c r="F245" i="1"/>
  <c r="P245" i="1"/>
  <c r="F246" i="1"/>
  <c r="P246" i="1"/>
  <c r="F247" i="1"/>
  <c r="P247" i="1"/>
  <c r="F248" i="1"/>
  <c r="P248" i="1"/>
  <c r="F249" i="1"/>
  <c r="P249" i="1"/>
  <c r="F250" i="1"/>
  <c r="P250" i="1"/>
  <c r="F251" i="1"/>
  <c r="P251" i="1"/>
  <c r="F252" i="1"/>
  <c r="P252" i="1"/>
  <c r="F253" i="1"/>
  <c r="P253" i="1"/>
  <c r="F254" i="1"/>
  <c r="P254" i="1"/>
  <c r="F255" i="1"/>
  <c r="P255" i="1"/>
  <c r="F256" i="1"/>
  <c r="P256" i="1"/>
  <c r="F257" i="1"/>
  <c r="P257" i="1"/>
  <c r="F258" i="1"/>
  <c r="P258" i="1"/>
  <c r="F259" i="1"/>
  <c r="P259" i="1"/>
  <c r="F260" i="1"/>
  <c r="P260" i="1"/>
  <c r="F261" i="1"/>
  <c r="P261" i="1"/>
  <c r="F262" i="1"/>
  <c r="P262" i="1"/>
  <c r="F263" i="1"/>
  <c r="P263" i="1"/>
  <c r="F264" i="1"/>
  <c r="P264" i="1"/>
  <c r="F265" i="1"/>
  <c r="P265" i="1"/>
  <c r="F266" i="1"/>
  <c r="P266" i="1"/>
  <c r="F267" i="1"/>
  <c r="P267" i="1"/>
  <c r="F268" i="1"/>
  <c r="P268" i="1"/>
  <c r="F269" i="1"/>
  <c r="P269" i="1"/>
  <c r="F270" i="1"/>
  <c r="P270" i="1"/>
  <c r="F271" i="1"/>
  <c r="P271" i="1"/>
  <c r="F272" i="1"/>
  <c r="P272" i="1"/>
  <c r="F273" i="1"/>
  <c r="P273" i="1"/>
  <c r="F274" i="1"/>
  <c r="P274" i="1"/>
  <c r="F275" i="1"/>
  <c r="P275" i="1"/>
  <c r="F276" i="1"/>
  <c r="P276" i="1"/>
  <c r="F277" i="1"/>
  <c r="P277" i="1"/>
  <c r="F278" i="1"/>
  <c r="P278" i="1"/>
  <c r="F279" i="1"/>
  <c r="P279" i="1"/>
  <c r="F280" i="1"/>
  <c r="P280" i="1"/>
  <c r="F281" i="1"/>
  <c r="P281" i="1"/>
  <c r="F282" i="1"/>
  <c r="P282" i="1"/>
  <c r="F283" i="1"/>
  <c r="P283" i="1"/>
  <c r="F284" i="1"/>
  <c r="P284" i="1"/>
  <c r="F285" i="1"/>
  <c r="P285" i="1"/>
  <c r="F286" i="1"/>
  <c r="P286" i="1"/>
  <c r="F287" i="1"/>
  <c r="P287" i="1"/>
  <c r="F288" i="1"/>
  <c r="P288" i="1"/>
  <c r="F289" i="1"/>
  <c r="P289" i="1"/>
  <c r="F290" i="1"/>
  <c r="P290" i="1"/>
  <c r="F291" i="1"/>
  <c r="P291" i="1"/>
  <c r="F292" i="1"/>
  <c r="P292" i="1"/>
  <c r="F293" i="1"/>
  <c r="P293" i="1"/>
  <c r="F294" i="1"/>
  <c r="P294" i="1"/>
  <c r="F295" i="1"/>
  <c r="P295" i="1"/>
  <c r="F296" i="1"/>
  <c r="P296" i="1"/>
  <c r="F297" i="1"/>
  <c r="P297" i="1"/>
  <c r="F298" i="1"/>
  <c r="P298" i="1"/>
  <c r="F299" i="1"/>
  <c r="P299" i="1"/>
  <c r="F300" i="1"/>
  <c r="P300" i="1"/>
  <c r="F301" i="1"/>
  <c r="P301" i="1"/>
  <c r="F302" i="1"/>
  <c r="P302" i="1"/>
  <c r="F303" i="1"/>
  <c r="P303" i="1"/>
  <c r="F304" i="1"/>
  <c r="P304" i="1"/>
  <c r="F305" i="1"/>
  <c r="P305" i="1"/>
  <c r="F306" i="1"/>
  <c r="P306" i="1"/>
  <c r="F307" i="1"/>
  <c r="P307" i="1"/>
  <c r="F308" i="1"/>
  <c r="P308" i="1"/>
  <c r="F309" i="1"/>
  <c r="P309" i="1"/>
  <c r="F310" i="1"/>
  <c r="P310" i="1"/>
  <c r="F311" i="1"/>
  <c r="P311" i="1"/>
  <c r="F312" i="1"/>
  <c r="P312" i="1"/>
  <c r="F313" i="1"/>
  <c r="P313" i="1"/>
  <c r="F314" i="1"/>
  <c r="P314" i="1"/>
  <c r="F315" i="1"/>
  <c r="P315" i="1"/>
  <c r="F316" i="1"/>
  <c r="P316" i="1"/>
  <c r="F317" i="1"/>
  <c r="P317" i="1"/>
  <c r="F318" i="1"/>
  <c r="P318" i="1"/>
  <c r="F319" i="1"/>
  <c r="P319" i="1"/>
  <c r="F320" i="1"/>
  <c r="P320" i="1"/>
  <c r="F321" i="1"/>
  <c r="P321" i="1"/>
  <c r="F322" i="1"/>
  <c r="P322" i="1"/>
  <c r="F323" i="1"/>
  <c r="P323" i="1"/>
  <c r="F324" i="1"/>
  <c r="P324" i="1"/>
  <c r="F325" i="1"/>
  <c r="P325" i="1"/>
  <c r="F326" i="1"/>
  <c r="P326" i="1"/>
  <c r="F327" i="1"/>
  <c r="P327" i="1"/>
  <c r="F328" i="1"/>
  <c r="P328" i="1"/>
  <c r="F329" i="1"/>
  <c r="P329" i="1"/>
  <c r="F330" i="1"/>
  <c r="P330" i="1"/>
  <c r="F331" i="1"/>
  <c r="P331" i="1"/>
  <c r="F332" i="1"/>
  <c r="P332" i="1"/>
  <c r="F333" i="1"/>
  <c r="P333" i="1"/>
  <c r="F334" i="1"/>
  <c r="P334" i="1"/>
  <c r="F335" i="1"/>
  <c r="P335" i="1"/>
  <c r="F336" i="1"/>
  <c r="P336" i="1"/>
  <c r="F337" i="1"/>
  <c r="P337" i="1"/>
  <c r="F338" i="1"/>
  <c r="P338" i="1"/>
  <c r="F339" i="1"/>
  <c r="P339" i="1"/>
  <c r="F340" i="1"/>
  <c r="P340" i="1"/>
  <c r="F341" i="1"/>
  <c r="P341" i="1"/>
  <c r="F342" i="1"/>
  <c r="P342" i="1"/>
  <c r="F343" i="1"/>
  <c r="P343" i="1"/>
  <c r="F344" i="1"/>
  <c r="P344" i="1"/>
  <c r="F345" i="1"/>
  <c r="P345" i="1"/>
  <c r="F346" i="1"/>
  <c r="P346" i="1"/>
  <c r="F347" i="1"/>
  <c r="P347" i="1"/>
  <c r="F348" i="1"/>
  <c r="P348" i="1"/>
  <c r="F349" i="1"/>
  <c r="P349" i="1"/>
  <c r="F350" i="1"/>
  <c r="P350" i="1"/>
  <c r="F351" i="1"/>
  <c r="P351" i="1"/>
  <c r="F352" i="1"/>
  <c r="P352" i="1"/>
  <c r="F353" i="1"/>
  <c r="P353" i="1"/>
  <c r="F354" i="1"/>
  <c r="P354" i="1"/>
  <c r="F355" i="1"/>
  <c r="P355" i="1"/>
  <c r="F356" i="1"/>
  <c r="P356" i="1"/>
  <c r="F357" i="1"/>
  <c r="P357" i="1"/>
  <c r="F358" i="1"/>
  <c r="P358" i="1"/>
  <c r="F359" i="1"/>
  <c r="P359" i="1"/>
  <c r="F360" i="1"/>
  <c r="P360" i="1"/>
  <c r="F361" i="1"/>
  <c r="P361" i="1"/>
  <c r="F362" i="1"/>
  <c r="P362" i="1"/>
  <c r="F363" i="1"/>
  <c r="P363" i="1"/>
  <c r="F364" i="1"/>
  <c r="P364" i="1"/>
  <c r="F365" i="1"/>
  <c r="P365" i="1"/>
  <c r="F366" i="1"/>
  <c r="P366" i="1"/>
  <c r="F367" i="1"/>
  <c r="P367" i="1"/>
  <c r="F368" i="1"/>
  <c r="P368" i="1"/>
  <c r="F369" i="1"/>
  <c r="P369" i="1"/>
  <c r="F370" i="1"/>
  <c r="P370" i="1"/>
  <c r="F371" i="1"/>
  <c r="P371" i="1"/>
  <c r="F372" i="1"/>
  <c r="P372" i="1"/>
  <c r="F373" i="1"/>
  <c r="P373" i="1"/>
  <c r="F374" i="1"/>
  <c r="P374" i="1"/>
  <c r="F375" i="1"/>
  <c r="P375" i="1"/>
  <c r="F376" i="1"/>
  <c r="P376" i="1"/>
  <c r="F377" i="1"/>
  <c r="P377" i="1"/>
  <c r="F378" i="1"/>
  <c r="P378" i="1"/>
  <c r="F379" i="1"/>
  <c r="P379" i="1"/>
  <c r="F380" i="1"/>
  <c r="P380" i="1"/>
  <c r="F381" i="1"/>
  <c r="P381" i="1"/>
  <c r="F382" i="1"/>
  <c r="P382" i="1"/>
  <c r="F383" i="1"/>
  <c r="P383" i="1"/>
  <c r="F384" i="1"/>
  <c r="P384" i="1"/>
  <c r="F385" i="1"/>
  <c r="P385" i="1"/>
  <c r="F386" i="1"/>
  <c r="P386" i="1"/>
  <c r="F387" i="1"/>
  <c r="P387" i="1"/>
  <c r="F388" i="1"/>
  <c r="P388" i="1"/>
  <c r="F389" i="1"/>
  <c r="P389" i="1"/>
  <c r="F390" i="1"/>
  <c r="P390" i="1"/>
  <c r="F391" i="1"/>
  <c r="P391" i="1"/>
  <c r="F392" i="1"/>
  <c r="P392" i="1"/>
  <c r="F393" i="1"/>
  <c r="P393" i="1"/>
  <c r="F394" i="1"/>
  <c r="P394" i="1"/>
  <c r="F395" i="1"/>
  <c r="P395" i="1"/>
  <c r="F396" i="1"/>
  <c r="P396" i="1"/>
  <c r="F397" i="1"/>
  <c r="P397" i="1"/>
  <c r="F398" i="1"/>
  <c r="P398" i="1"/>
  <c r="F399" i="1"/>
  <c r="P399" i="1"/>
  <c r="F400" i="1"/>
  <c r="P400" i="1"/>
  <c r="F401" i="1"/>
  <c r="P401" i="1"/>
  <c r="F402" i="1"/>
  <c r="P402" i="1"/>
  <c r="F403" i="1"/>
  <c r="P403" i="1"/>
  <c r="F404" i="1"/>
  <c r="P404" i="1"/>
  <c r="F405" i="1"/>
  <c r="P405" i="1"/>
  <c r="F406" i="1"/>
  <c r="P406" i="1"/>
  <c r="F407" i="1"/>
  <c r="P407" i="1"/>
  <c r="F408" i="1"/>
  <c r="P408" i="1"/>
  <c r="F409" i="1"/>
  <c r="P409" i="1"/>
  <c r="F410" i="1"/>
  <c r="P410" i="1"/>
  <c r="F411" i="1"/>
  <c r="P411" i="1"/>
  <c r="F412" i="1"/>
  <c r="P412" i="1"/>
  <c r="F413" i="1"/>
  <c r="P413" i="1"/>
  <c r="F414" i="1"/>
  <c r="P414" i="1"/>
  <c r="F415" i="1"/>
  <c r="P415" i="1"/>
  <c r="F416" i="1"/>
  <c r="P416" i="1"/>
  <c r="F417" i="1"/>
  <c r="P417" i="1"/>
  <c r="F418" i="1"/>
  <c r="P418" i="1"/>
  <c r="F419" i="1"/>
  <c r="P419" i="1"/>
  <c r="F420" i="1"/>
  <c r="P420" i="1"/>
  <c r="F421" i="1"/>
  <c r="P421" i="1"/>
  <c r="F422" i="1"/>
  <c r="P422" i="1"/>
  <c r="F423" i="1"/>
  <c r="P423" i="1"/>
  <c r="F424" i="1"/>
  <c r="P424" i="1"/>
  <c r="F425" i="1"/>
  <c r="P425" i="1"/>
  <c r="F426" i="1"/>
  <c r="P426" i="1"/>
  <c r="F427" i="1"/>
  <c r="P427" i="1"/>
  <c r="F428" i="1"/>
  <c r="P428" i="1"/>
  <c r="F429" i="1"/>
  <c r="P429" i="1"/>
  <c r="F430" i="1"/>
  <c r="P430" i="1"/>
  <c r="F431" i="1"/>
  <c r="P431" i="1"/>
  <c r="F432" i="1"/>
  <c r="P432" i="1"/>
  <c r="F433" i="1"/>
  <c r="P433" i="1"/>
  <c r="F434" i="1"/>
  <c r="P434" i="1"/>
  <c r="F435" i="1"/>
  <c r="P435" i="1"/>
  <c r="F436" i="1"/>
  <c r="P436" i="1"/>
  <c r="F437" i="1"/>
  <c r="P437" i="1"/>
  <c r="F438" i="1"/>
  <c r="P438" i="1"/>
  <c r="F439" i="1"/>
  <c r="P439" i="1"/>
  <c r="F440" i="1"/>
  <c r="P440" i="1"/>
  <c r="F441" i="1"/>
  <c r="P441" i="1"/>
  <c r="F442" i="1"/>
  <c r="P442" i="1"/>
  <c r="F443" i="1"/>
  <c r="P443" i="1"/>
  <c r="F444" i="1"/>
  <c r="P444" i="1"/>
</calcChain>
</file>

<file path=xl/sharedStrings.xml><?xml version="1.0" encoding="utf-8"?>
<sst xmlns="http://schemas.openxmlformats.org/spreadsheetml/2006/main" count="5012" uniqueCount="988">
  <si>
    <t>Vendor Name</t>
  </si>
  <si>
    <t>PO Number</t>
  </si>
  <si>
    <t>Invoice Date</t>
  </si>
  <si>
    <t>Due Date</t>
  </si>
  <si>
    <t>Invoice Amount</t>
  </si>
  <si>
    <t>Currency</t>
  </si>
  <si>
    <t>Tax %</t>
  </si>
  <si>
    <t>Tax Amount</t>
  </si>
  <si>
    <t>Department</t>
  </si>
  <si>
    <t>Category</t>
  </si>
  <si>
    <t>Approval Status</t>
  </si>
  <si>
    <t>Approver</t>
  </si>
  <si>
    <t>Payment Status</t>
  </si>
  <si>
    <t>Payment Date</t>
  </si>
  <si>
    <t>Payment Method</t>
  </si>
  <si>
    <t>Country</t>
  </si>
  <si>
    <t>INV-2024129</t>
  </si>
  <si>
    <t>PO-72573</t>
  </si>
  <si>
    <t>INR</t>
  </si>
  <si>
    <t>Approved</t>
  </si>
  <si>
    <t>Bank Transfer</t>
  </si>
  <si>
    <t>INV-2024130</t>
  </si>
  <si>
    <t>Coastal Freight Logistics</t>
  </si>
  <si>
    <t>PO-27536</t>
  </si>
  <si>
    <t>Raw Materials</t>
  </si>
  <si>
    <t>Pending</t>
  </si>
  <si>
    <t>S. Iyer</t>
  </si>
  <si>
    <t>Cancelled</t>
  </si>
  <si>
    <t>NEFT</t>
  </si>
  <si>
    <t>India</t>
  </si>
  <si>
    <t>INV-2024006</t>
  </si>
  <si>
    <t>Bluewave Marketing Agency</t>
  </si>
  <si>
    <t>PO-26828</t>
  </si>
  <si>
    <t>Admin</t>
  </si>
  <si>
    <t>Freight &amp; Logistics</t>
  </si>
  <si>
    <t>M. Khan</t>
  </si>
  <si>
    <t>Wire Transfer</t>
  </si>
  <si>
    <t>INV-2024214</t>
  </si>
  <si>
    <t>PO-67154</t>
  </si>
  <si>
    <t>In Review</t>
  </si>
  <si>
    <t>ACH</t>
  </si>
  <si>
    <t>UK</t>
  </si>
  <si>
    <t>INV-2024326</t>
  </si>
  <si>
    <t>PO-61060</t>
  </si>
  <si>
    <t>Legal</t>
  </si>
  <si>
    <t>Professional Services</t>
  </si>
  <si>
    <t>INV-2024180</t>
  </si>
  <si>
    <t>Redwood Raw Materials</t>
  </si>
  <si>
    <t>PO-85534</t>
  </si>
  <si>
    <t>INV-2024012</t>
  </si>
  <si>
    <t>Meridian Transport Co.</t>
  </si>
  <si>
    <t>PO-66057</t>
  </si>
  <si>
    <t>USD</t>
  </si>
  <si>
    <t>IT</t>
  </si>
  <si>
    <t>Maintenance</t>
  </si>
  <si>
    <t>Rejected</t>
  </si>
  <si>
    <t>A. Mehta</t>
  </si>
  <si>
    <t>UPI</t>
  </si>
  <si>
    <t>INV-2024343</t>
  </si>
  <si>
    <t>PO-29482</t>
  </si>
  <si>
    <t>Office Supplies</t>
  </si>
  <si>
    <t>On Hold</t>
  </si>
  <si>
    <t>Cheque</t>
  </si>
  <si>
    <t>USA</t>
  </si>
  <si>
    <t>INV-2024331</t>
  </si>
  <si>
    <t>PO-15276</t>
  </si>
  <si>
    <t>Marketing</t>
  </si>
  <si>
    <t>Singapore</t>
  </si>
  <si>
    <t>INV-2024318</t>
  </si>
  <si>
    <t>PO-38272</t>
  </si>
  <si>
    <t>IT Services</t>
  </si>
  <si>
    <t>INV-2024143</t>
  </si>
  <si>
    <t>EUR</t>
  </si>
  <si>
    <t>Logistics</t>
  </si>
  <si>
    <t>INV-2024161</t>
  </si>
  <si>
    <t>PO-47655</t>
  </si>
  <si>
    <t>INV-2024002</t>
  </si>
  <si>
    <t>Titan IT Solutions</t>
  </si>
  <si>
    <t>PO-15695</t>
  </si>
  <si>
    <t>Travel &amp; Expenses</t>
  </si>
  <si>
    <t>R. Sharma</t>
  </si>
  <si>
    <t>INV-2024217</t>
  </si>
  <si>
    <t>PO-54216</t>
  </si>
  <si>
    <t>INV-2024338</t>
  </si>
  <si>
    <t>PO-27512</t>
  </si>
  <si>
    <t>UAE</t>
  </si>
  <si>
    <t>INV-2024196</t>
  </si>
  <si>
    <t>PO-72797</t>
  </si>
  <si>
    <t>Germany</t>
  </si>
  <si>
    <t>INV-2024347</t>
  </si>
  <si>
    <t>PO-83307</t>
  </si>
  <si>
    <t>J. D'Souza</t>
  </si>
  <si>
    <t>Overdue</t>
  </si>
  <si>
    <t>INV-2024190</t>
  </si>
  <si>
    <t>PO-33562</t>
  </si>
  <si>
    <t>INV-2024349</t>
  </si>
  <si>
    <t>PO-14903</t>
  </si>
  <si>
    <t>Procurement</t>
  </si>
  <si>
    <t>Consulting</t>
  </si>
  <si>
    <t>INV-2024041</t>
  </si>
  <si>
    <t>P. Nair</t>
  </si>
  <si>
    <t>INV-2024186</t>
  </si>
  <si>
    <t>Vertex Software Inc.</t>
  </si>
  <si>
    <t>PO-89346</t>
  </si>
  <si>
    <t>INV-2024268</t>
  </si>
  <si>
    <t>PO-63648</t>
  </si>
  <si>
    <t>Finance</t>
  </si>
  <si>
    <t>INV-2024246</t>
  </si>
  <si>
    <t>PO-99824</t>
  </si>
  <si>
    <t>INV-2024342</t>
  </si>
  <si>
    <t>PO-53741</t>
  </si>
  <si>
    <t>Partial</t>
  </si>
  <si>
    <t>INV-2024433</t>
  </si>
  <si>
    <t>INV-2024028</t>
  </si>
  <si>
    <t>PO-17816</t>
  </si>
  <si>
    <t>INV-2024267</t>
  </si>
  <si>
    <t>PO-48289</t>
  </si>
  <si>
    <t>K. Reddy</t>
  </si>
  <si>
    <t>INV-2024446</t>
  </si>
  <si>
    <t>PO-84843</t>
  </si>
  <si>
    <t>INV-2024053</t>
  </si>
  <si>
    <t>Ironclad Insurance Group</t>
  </si>
  <si>
    <t>PO-79135</t>
  </si>
  <si>
    <t>INV-2024263</t>
  </si>
  <si>
    <t>INV-2024086</t>
  </si>
  <si>
    <t>PO-45123</t>
  </si>
  <si>
    <t>Paid</t>
  </si>
  <si>
    <t>INV-2024114</t>
  </si>
  <si>
    <t>Silverline Manufacturing</t>
  </si>
  <si>
    <t>PO-86810</t>
  </si>
  <si>
    <t>INV-2024434</t>
  </si>
  <si>
    <t>PO-92756</t>
  </si>
  <si>
    <t>INV-2024101</t>
  </si>
  <si>
    <t>PO-21362</t>
  </si>
  <si>
    <t>INV-2024023</t>
  </si>
  <si>
    <t>PO-89997</t>
  </si>
  <si>
    <t>INV-2024315</t>
  </si>
  <si>
    <t>Pioneer Chemicals Pvt Ltd</t>
  </si>
  <si>
    <t>PO-37740</t>
  </si>
  <si>
    <t>INV-2024321</t>
  </si>
  <si>
    <t>INV-2024150</t>
  </si>
  <si>
    <t>Anchor Legal Partners</t>
  </si>
  <si>
    <t>PO-76476</t>
  </si>
  <si>
    <t>Operations</t>
  </si>
  <si>
    <t>INV-2024366</t>
  </si>
  <si>
    <t>PO-10609</t>
  </si>
  <si>
    <t>INV-2024447</t>
  </si>
  <si>
    <t>PO-10743</t>
  </si>
  <si>
    <t>INV-2024238</t>
  </si>
  <si>
    <t>PO-65586</t>
  </si>
  <si>
    <t>INV-2024397</t>
  </si>
  <si>
    <t>PO-23924</t>
  </si>
  <si>
    <t>INV-2024224</t>
  </si>
  <si>
    <t>Falcon Security Systems</t>
  </si>
  <si>
    <t>INV-2024279</t>
  </si>
  <si>
    <t>Apex Office Supplies</t>
  </si>
  <si>
    <t>PO-88363</t>
  </si>
  <si>
    <t>INV-2024403</t>
  </si>
  <si>
    <t>INV-2024421</t>
  </si>
  <si>
    <t>PO-25238</t>
  </si>
  <si>
    <t>INV-2024348</t>
  </si>
  <si>
    <t>PO-14242</t>
  </si>
  <si>
    <t>INV-2024203</t>
  </si>
  <si>
    <t>Crescent HR Staffing</t>
  </si>
  <si>
    <t>PO-50374</t>
  </si>
  <si>
    <t>Sales</t>
  </si>
  <si>
    <t>INV-2024160</t>
  </si>
  <si>
    <t>PO-80504</t>
  </si>
  <si>
    <t>INV-2024173</t>
  </si>
  <si>
    <t>PO-72294</t>
  </si>
  <si>
    <t>INV-2024344</t>
  </si>
  <si>
    <t>PO-79792</t>
  </si>
  <si>
    <t>INV-2024202</t>
  </si>
  <si>
    <t>PO-82895</t>
  </si>
  <si>
    <t>INV-2024373</t>
  </si>
  <si>
    <t>PO-97298</t>
  </si>
  <si>
    <t>INV-2024306</t>
  </si>
  <si>
    <t>PO-36787</t>
  </si>
  <si>
    <t>INV-2024409</t>
  </si>
  <si>
    <t>PO-12625</t>
  </si>
  <si>
    <t>INV-2024399</t>
  </si>
  <si>
    <t>PO-40115</t>
  </si>
  <si>
    <t>INV-2024043</t>
  </si>
  <si>
    <t>PO-22463</t>
  </si>
  <si>
    <t>Credit Card</t>
  </si>
  <si>
    <t>INV-2024075</t>
  </si>
  <si>
    <t>PO-83242</t>
  </si>
  <si>
    <t>INV-2024259</t>
  </si>
  <si>
    <t>PO-21825</t>
  </si>
  <si>
    <t>INV-2024359</t>
  </si>
  <si>
    <t>Quantum Electronics Ltd</t>
  </si>
  <si>
    <t>PO-32769</t>
  </si>
  <si>
    <t>INV-2024304</t>
  </si>
  <si>
    <t>PO-26260</t>
  </si>
  <si>
    <t>INV-2024270</t>
  </si>
  <si>
    <t>PO-80882</t>
  </si>
  <si>
    <t>INV-2024039</t>
  </si>
  <si>
    <t>Nimbus Cloud Services</t>
  </si>
  <si>
    <t>PO-97881</t>
  </si>
  <si>
    <t>INV-2024269</t>
  </si>
  <si>
    <t>PO-82562</t>
  </si>
  <si>
    <t>INV-2024383</t>
  </si>
  <si>
    <t>PO-75956</t>
  </si>
  <si>
    <t>INV-2024060</t>
  </si>
  <si>
    <t>PO-90199</t>
  </si>
  <si>
    <t>INV-2024197</t>
  </si>
  <si>
    <t>Sunrise Catering Services</t>
  </si>
  <si>
    <t>PO-84839</t>
  </si>
  <si>
    <t>INV-2024067</t>
  </si>
  <si>
    <t>PO-83783</t>
  </si>
  <si>
    <t>INV-2024050</t>
  </si>
  <si>
    <t>PO-78690</t>
  </si>
  <si>
    <t>INV-2024177</t>
  </si>
  <si>
    <t>PO-60506</t>
  </si>
  <si>
    <t>INV-2024262</t>
  </si>
  <si>
    <t>PO-98487</t>
  </si>
  <si>
    <t>INV-2024286</t>
  </si>
  <si>
    <t>PO-88010</t>
  </si>
  <si>
    <t>INV-2024384</t>
  </si>
  <si>
    <t>PO-43977</t>
  </si>
  <si>
    <t>INV-2024405</t>
  </si>
  <si>
    <t>PO-38863</t>
  </si>
  <si>
    <t>INV-2024377</t>
  </si>
  <si>
    <t>PO-83498</t>
  </si>
  <si>
    <t>INV-2024289</t>
  </si>
  <si>
    <t>PO-36099</t>
  </si>
  <si>
    <t>INV-2024398</t>
  </si>
  <si>
    <t>PO-89574</t>
  </si>
  <si>
    <t>INV-2024356</t>
  </si>
  <si>
    <t>PO-69768</t>
  </si>
  <si>
    <t>HR</t>
  </si>
  <si>
    <t>INV-2024240</t>
  </si>
  <si>
    <t>PO-77032</t>
  </si>
  <si>
    <t>INV-2024082</t>
  </si>
  <si>
    <t>PO-94123</t>
  </si>
  <si>
    <t>INV-2024176</t>
  </si>
  <si>
    <t>PO-16433</t>
  </si>
  <si>
    <t>INV-2024388</t>
  </si>
  <si>
    <t>PO-53848</t>
  </si>
  <si>
    <t>INV-2024146</t>
  </si>
  <si>
    <t>PO-19232</t>
  </si>
  <si>
    <t>INV-2024210</t>
  </si>
  <si>
    <t>PO-29025</t>
  </si>
  <si>
    <t>INV-2024167</t>
  </si>
  <si>
    <t>PO-42983</t>
  </si>
  <si>
    <t>PO-62976</t>
  </si>
  <si>
    <t>INV-2024436</t>
  </si>
  <si>
    <t>PO-30574</t>
  </si>
  <si>
    <t>INV-2024198</t>
  </si>
  <si>
    <t>PO-34931</t>
  </si>
  <si>
    <t>INV-2024254</t>
  </si>
  <si>
    <t>PO-89478</t>
  </si>
  <si>
    <t>INV-2024095</t>
  </si>
  <si>
    <t>PO-39470</t>
  </si>
  <si>
    <t>INV-2024178</t>
  </si>
  <si>
    <t>PO-58722</t>
  </si>
  <si>
    <t>INV-2024324</t>
  </si>
  <si>
    <t>PO-69777</t>
  </si>
  <si>
    <t>INV-2024298</t>
  </si>
  <si>
    <t>PO-70319</t>
  </si>
  <si>
    <t>INV-2024077</t>
  </si>
  <si>
    <t>INV-2024137</t>
  </si>
  <si>
    <t>PO-98011</t>
  </si>
  <si>
    <t>INV-2024046</t>
  </si>
  <si>
    <t>PO-37686</t>
  </si>
  <si>
    <t>INV-2024183</t>
  </si>
  <si>
    <t>INV-2024135</t>
  </si>
  <si>
    <t>PO-98857</t>
  </si>
  <si>
    <t>INV-2024275</t>
  </si>
  <si>
    <t>PO-46356</t>
  </si>
  <si>
    <t>INV-2024100</t>
  </si>
  <si>
    <t>PO-65353</t>
  </si>
  <si>
    <t>INV-2024307</t>
  </si>
  <si>
    <t>INV-2024237</t>
  </si>
  <si>
    <t>PO-55591</t>
  </si>
  <si>
    <t>INV-2024019</t>
  </si>
  <si>
    <t>PO-59857</t>
  </si>
  <si>
    <t>INV-2024438</t>
  </si>
  <si>
    <t>PO-94066</t>
  </si>
  <si>
    <t>INV-2024145</t>
  </si>
  <si>
    <t>PO-51984</t>
  </si>
  <si>
    <t>INV-2024280</t>
  </si>
  <si>
    <t>PO-88579</t>
  </si>
  <si>
    <t>INV-2024175</t>
  </si>
  <si>
    <t>PO-60789</t>
  </si>
  <si>
    <t>INV-2024288</t>
  </si>
  <si>
    <t>PO-15530</t>
  </si>
  <si>
    <t>INV-2024314</t>
  </si>
  <si>
    <t>PO-55656</t>
  </si>
  <si>
    <t>INV-2024111</t>
  </si>
  <si>
    <t>INV-2024428</t>
  </si>
  <si>
    <t>PO-98509</t>
  </si>
  <si>
    <t>INV-2024126</t>
  </si>
  <si>
    <t>PO-62965</t>
  </si>
  <si>
    <t>INV-2024031</t>
  </si>
  <si>
    <t>PO-76496</t>
  </si>
  <si>
    <t>INV-2024201</t>
  </si>
  <si>
    <t>PO-50683</t>
  </si>
  <si>
    <t>INV-2024040</t>
  </si>
  <si>
    <t>PO-22015</t>
  </si>
  <si>
    <t>INV-2024045</t>
  </si>
  <si>
    <t>PO-54681</t>
  </si>
  <si>
    <t>INV-2024372</t>
  </si>
  <si>
    <t>PO-63026</t>
  </si>
  <si>
    <t>INV-2024276</t>
  </si>
  <si>
    <t>PO-85963</t>
  </si>
  <si>
    <t>INV-2024181</t>
  </si>
  <si>
    <t>PO-39109</t>
  </si>
  <si>
    <t>INV-2024092</t>
  </si>
  <si>
    <t>PO-41970</t>
  </si>
  <si>
    <t>INV-2024369</t>
  </si>
  <si>
    <t>Horizon Facilities Mgmt.</t>
  </si>
  <si>
    <t>INV-2024282</t>
  </si>
  <si>
    <t>PO-24541</t>
  </si>
  <si>
    <t>INV-2024281</t>
  </si>
  <si>
    <t>PO-33224</t>
  </si>
  <si>
    <t>INV-2024316</t>
  </si>
  <si>
    <t>PO-60023</t>
  </si>
  <si>
    <t>INV-2024059</t>
  </si>
  <si>
    <t>INV-2024153</t>
  </si>
  <si>
    <t>PO-25509</t>
  </si>
  <si>
    <t>INV-2024375</t>
  </si>
  <si>
    <t>PO-21701</t>
  </si>
  <si>
    <t>INV-2024007</t>
  </si>
  <si>
    <t>PO-18834</t>
  </si>
  <si>
    <t>INV-2024110</t>
  </si>
  <si>
    <t>PO-39135</t>
  </si>
  <si>
    <t>INV-2024249</t>
  </si>
  <si>
    <t>PO-94593</t>
  </si>
  <si>
    <t>INV-2024017</t>
  </si>
  <si>
    <t>PO-23970</t>
  </si>
  <si>
    <t>INV-2024317</t>
  </si>
  <si>
    <t>PO-57844</t>
  </si>
  <si>
    <t>INV-2024189</t>
  </si>
  <si>
    <t>PO-69886</t>
  </si>
  <si>
    <t>INV-2024144</t>
  </si>
  <si>
    <t>PO-72240</t>
  </si>
  <si>
    <t>INV-2024243</t>
  </si>
  <si>
    <t>PO-18585</t>
  </si>
  <si>
    <t>INV-2024244</t>
  </si>
  <si>
    <t>PO-67146</t>
  </si>
  <si>
    <t>INV-2024311</t>
  </si>
  <si>
    <t>PO-84329</t>
  </si>
  <si>
    <t>INV-2024125</t>
  </si>
  <si>
    <t>PO-46094</t>
  </si>
  <si>
    <t>INV-2024088</t>
  </si>
  <si>
    <t>PO-91289</t>
  </si>
  <si>
    <t>INV-2024370</t>
  </si>
  <si>
    <t>PO-90052</t>
  </si>
  <si>
    <t>INV-2024199</t>
  </si>
  <si>
    <t>PO-85701</t>
  </si>
  <si>
    <t>INV-2024423</t>
  </si>
  <si>
    <t>PO-47839</t>
  </si>
  <si>
    <t>INV-2024264</t>
  </si>
  <si>
    <t>PO-25327</t>
  </si>
  <si>
    <t>INV-2024325</t>
  </si>
  <si>
    <t>PO-81875</t>
  </si>
  <si>
    <t>INV-2024413</t>
  </si>
  <si>
    <t>PO-65797</t>
  </si>
  <si>
    <t>PO-24871</t>
  </si>
  <si>
    <t>INV-2024247</t>
  </si>
  <si>
    <t>PO-13819</t>
  </si>
  <si>
    <t>INV-2024140</t>
  </si>
  <si>
    <t>PO-27389</t>
  </si>
  <si>
    <t>INV-2024068</t>
  </si>
  <si>
    <t>PO-36724</t>
  </si>
  <si>
    <t>INV-2024117</t>
  </si>
  <si>
    <t>PO-34901</t>
  </si>
  <si>
    <t>INV-2024055</t>
  </si>
  <si>
    <t>PO-47762</t>
  </si>
  <si>
    <t>INV-2024448</t>
  </si>
  <si>
    <t>PO-87717</t>
  </si>
  <si>
    <t>INV-2024427</t>
  </si>
  <si>
    <t>PO-61622</t>
  </si>
  <si>
    <t>INV-2024188</t>
  </si>
  <si>
    <t>PO-11967</t>
  </si>
  <si>
    <t>INV-2024049</t>
  </si>
  <si>
    <t>PO-17456</t>
  </si>
  <si>
    <t>INV-2024171</t>
  </si>
  <si>
    <t>PO-21822</t>
  </si>
  <si>
    <t>INV-2024124</t>
  </si>
  <si>
    <t>PO-21847</t>
  </si>
  <si>
    <t>INV-2024294</t>
  </si>
  <si>
    <t>PO-62928</t>
  </si>
  <si>
    <t>INV-2024003</t>
  </si>
  <si>
    <t>PO-42087</t>
  </si>
  <si>
    <t>INV-2024435</t>
  </si>
  <si>
    <t>PO-37696</t>
  </si>
  <si>
    <t>INV-2024357</t>
  </si>
  <si>
    <t>PO-75064</t>
  </si>
  <si>
    <t>INV-2024042</t>
  </si>
  <si>
    <t>PO-20589</t>
  </si>
  <si>
    <t>INV-2024061</t>
  </si>
  <si>
    <t>PO-71263</t>
  </si>
  <si>
    <t>INV-2024407</t>
  </si>
  <si>
    <t>PO-38194</t>
  </si>
  <si>
    <t>INV-2024340</t>
  </si>
  <si>
    <t>INV-2024429</t>
  </si>
  <si>
    <t>PO-69017</t>
  </si>
  <si>
    <t>INV-2024327</t>
  </si>
  <si>
    <t>PO-71428</t>
  </si>
  <si>
    <t>INV-2024336</t>
  </si>
  <si>
    <t>PO-12867</t>
  </si>
  <si>
    <t>INV-2024449</t>
  </si>
  <si>
    <t>PO-85069</t>
  </si>
  <si>
    <t>INV-2024013</t>
  </si>
  <si>
    <t>PO-31299</t>
  </si>
  <si>
    <t>INV-2024382</t>
  </si>
  <si>
    <t>PO-58147</t>
  </si>
  <si>
    <t>INV-2024099</t>
  </si>
  <si>
    <t>PO-27290</t>
  </si>
  <si>
    <t>INV-2024312</t>
  </si>
  <si>
    <t>PO-10951</t>
  </si>
  <si>
    <t>INV-2024149</t>
  </si>
  <si>
    <t>PO-51462</t>
  </si>
  <si>
    <t>INV-2024440</t>
  </si>
  <si>
    <t>PO-69031</t>
  </si>
  <si>
    <t>INV-2024272</t>
  </si>
  <si>
    <t>PO-38152</t>
  </si>
  <si>
    <t>INV-2024096</t>
  </si>
  <si>
    <t>PO-41056</t>
  </si>
  <si>
    <t>INV-2024109</t>
  </si>
  <si>
    <t>PO-30658</t>
  </si>
  <si>
    <t>INV-2024283</t>
  </si>
  <si>
    <t>INV-2024257</t>
  </si>
  <si>
    <t>PO-47261</t>
  </si>
  <si>
    <t>INV-2024069</t>
  </si>
  <si>
    <t>PO-47880</t>
  </si>
  <si>
    <t>INV-2024148</t>
  </si>
  <si>
    <t>PO-17128</t>
  </si>
  <si>
    <t>INV-2024415</t>
  </si>
  <si>
    <t>PO-55214</t>
  </si>
  <si>
    <t>INV-2024134</t>
  </si>
  <si>
    <t>PO-27368</t>
  </si>
  <si>
    <t>INV-2024152</t>
  </si>
  <si>
    <t>PO-81349</t>
  </si>
  <si>
    <t>INV-2024364</t>
  </si>
  <si>
    <t>PO-68904</t>
  </si>
  <si>
    <t>INV-2024252</t>
  </si>
  <si>
    <t>PO-70610</t>
  </si>
  <si>
    <t>INV-2024322</t>
  </si>
  <si>
    <t>PO-95419</t>
  </si>
  <si>
    <t>INV-2024085</t>
  </si>
  <si>
    <t>PO-61007</t>
  </si>
  <si>
    <t>INV-2024287</t>
  </si>
  <si>
    <t>PO-77853</t>
  </si>
  <si>
    <t>INV-2024018</t>
  </si>
  <si>
    <t>INV-2024285</t>
  </si>
  <si>
    <t>INV-2024258</t>
  </si>
  <si>
    <t>PO-22130</t>
  </si>
  <si>
    <t>INV-2024065</t>
  </si>
  <si>
    <t>PO-86460</t>
  </si>
  <si>
    <t>INV-2024212</t>
  </si>
  <si>
    <t>PO-94922</t>
  </si>
  <si>
    <t>INV-2024353</t>
  </si>
  <si>
    <t>INV-2024027</t>
  </si>
  <si>
    <t>PO-91987</t>
  </si>
  <si>
    <t>INV-2024360</t>
  </si>
  <si>
    <t>PO-27111</t>
  </si>
  <si>
    <t>INV-2024308</t>
  </si>
  <si>
    <t>PO-63025</t>
  </si>
  <si>
    <t>INV-2024378</t>
  </si>
  <si>
    <t>PO-36149</t>
  </si>
  <si>
    <t>INV-2024206</t>
  </si>
  <si>
    <t>INV-2024368</t>
  </si>
  <si>
    <t>PO-26552</t>
  </si>
  <si>
    <t>INV-2024022</t>
  </si>
  <si>
    <t>PO-65057</t>
  </si>
  <si>
    <t>INV-2024236</t>
  </si>
  <si>
    <t>PO-39697</t>
  </si>
  <si>
    <t>INV-2024330</t>
  </si>
  <si>
    <t>INV-2024037</t>
  </si>
  <si>
    <t>PO-36318</t>
  </si>
  <si>
    <t>INV-2024278</t>
  </si>
  <si>
    <t>PO-98486</t>
  </si>
  <si>
    <t>INV-2024256</t>
  </si>
  <si>
    <t>PO-25207</t>
  </si>
  <si>
    <t>INV-2024132</t>
  </si>
  <si>
    <t>PO-44471</t>
  </si>
  <si>
    <t>INV-2024284</t>
  </si>
  <si>
    <t>INV-2024329</t>
  </si>
  <si>
    <t>PO-80663</t>
  </si>
  <si>
    <t>INV-2024051</t>
  </si>
  <si>
    <t>PO-94343</t>
  </si>
  <si>
    <t>INV-2024147</t>
  </si>
  <si>
    <t>PO-38818</t>
  </si>
  <si>
    <t>INV-2024417</t>
  </si>
  <si>
    <t>PO-60532</t>
  </si>
  <si>
    <t>INV-2024293</t>
  </si>
  <si>
    <t>PO-48603</t>
  </si>
  <si>
    <t>INV-2024386</t>
  </si>
  <si>
    <t>PO-63480</t>
  </si>
  <si>
    <t>INV-2024127</t>
  </si>
  <si>
    <t>PO-83273</t>
  </si>
  <si>
    <t>INV-2024123</t>
  </si>
  <si>
    <t>PO-13794</t>
  </si>
  <si>
    <t>INV-2024406</t>
  </si>
  <si>
    <t>PO-73577</t>
  </si>
  <si>
    <t>INV-2024172</t>
  </si>
  <si>
    <t>PO-97294</t>
  </si>
  <si>
    <t>INV-2024411</t>
  </si>
  <si>
    <t>PO-61595</t>
  </si>
  <si>
    <t>INV-2024439</t>
  </si>
  <si>
    <t>PO-15230</t>
  </si>
  <si>
    <t>INV-2024374</t>
  </si>
  <si>
    <t>PO-55977</t>
  </si>
  <si>
    <t>INV-2024169</t>
  </si>
  <si>
    <t>PO-10012</t>
  </si>
  <si>
    <t>INV-2024083</t>
  </si>
  <si>
    <t>PO-75826</t>
  </si>
  <si>
    <t>INV-2024033</t>
  </si>
  <si>
    <t>PO-53515</t>
  </si>
  <si>
    <t>INV-2024354</t>
  </si>
  <si>
    <t>PO-54829</t>
  </si>
  <si>
    <t>INV-2024445</t>
  </si>
  <si>
    <t>PO-50475</t>
  </si>
  <si>
    <t>INV-2024231</t>
  </si>
  <si>
    <t>INV-2024121</t>
  </si>
  <si>
    <t>PO-83752</t>
  </si>
  <si>
    <t>INV-2024253</t>
  </si>
  <si>
    <t>PO-98760</t>
  </si>
  <si>
    <t>INV-2024301</t>
  </si>
  <si>
    <t>PO-38333</t>
  </si>
  <si>
    <t>INV-2024001</t>
  </si>
  <si>
    <t>INV-2024164</t>
  </si>
  <si>
    <t>PO-39958</t>
  </si>
  <si>
    <t>INV-2024208</t>
  </si>
  <si>
    <t>PO-16765</t>
  </si>
  <si>
    <t>INV-2024155</t>
  </si>
  <si>
    <t>PO-15116</t>
  </si>
  <si>
    <t>INV-2024250</t>
  </si>
  <si>
    <t>PO-51573</t>
  </si>
  <si>
    <t>INV-2024035</t>
  </si>
  <si>
    <t>PO-11231</t>
  </si>
  <si>
    <t>INV-2024113</t>
  </si>
  <si>
    <t>PO-74517</t>
  </si>
  <si>
    <t>INV-2024138</t>
  </si>
  <si>
    <t>PO-24019</t>
  </si>
  <si>
    <t>INV-2024230</t>
  </si>
  <si>
    <t>PO-38883</t>
  </si>
  <si>
    <t>INV-2024220</t>
  </si>
  <si>
    <t>PO-30715</t>
  </si>
  <si>
    <t>INV-2024363</t>
  </si>
  <si>
    <t>PO-77194</t>
  </si>
  <si>
    <t>INV-2024119</t>
  </si>
  <si>
    <t>PO-60738</t>
  </si>
  <si>
    <t>INV-2024122</t>
  </si>
  <si>
    <t>PO-74437</t>
  </si>
  <si>
    <t>INV-2024248</t>
  </si>
  <si>
    <t>PO-88619</t>
  </si>
  <si>
    <t>INV-2024029</t>
  </si>
  <si>
    <t>PO-45325</t>
  </si>
  <si>
    <t>INV-2024319</t>
  </si>
  <si>
    <t>PO-81828</t>
  </si>
  <si>
    <t>INV-2024291</t>
  </si>
  <si>
    <t>PO-71691</t>
  </si>
  <si>
    <t>INV-2024352</t>
  </si>
  <si>
    <t>PO-22255</t>
  </si>
  <si>
    <t>INV-2024414</t>
  </si>
  <si>
    <t>PO-90478</t>
  </si>
  <si>
    <t>INV-2024008</t>
  </si>
  <si>
    <t>PO-28373</t>
  </si>
  <si>
    <t>INV-2024323</t>
  </si>
  <si>
    <t>PO-48456</t>
  </si>
  <si>
    <t>INV-2024292</t>
  </si>
  <si>
    <t>PO-84890</t>
  </si>
  <si>
    <t>INV-2024087</t>
  </si>
  <si>
    <t>PO-21101</t>
  </si>
  <si>
    <t>INV-2024194</t>
  </si>
  <si>
    <t>INV-2024389</t>
  </si>
  <si>
    <t>INV-2024209</t>
  </si>
  <si>
    <t>PO-21062</t>
  </si>
  <si>
    <t>INV-2024074</t>
  </si>
  <si>
    <t>PO-88094</t>
  </si>
  <si>
    <t>PO-93579</t>
  </si>
  <si>
    <t>INV-2024299</t>
  </si>
  <si>
    <t>PO-38476</t>
  </si>
  <si>
    <t>PO-80283</t>
  </si>
  <si>
    <t>INV-2024441</t>
  </si>
  <si>
    <t>INV-2024365</t>
  </si>
  <si>
    <t>PO-47173</t>
  </si>
  <si>
    <t>INV-2024015</t>
  </si>
  <si>
    <t>PO-91678</t>
  </si>
  <si>
    <t>INV-2024165</t>
  </si>
  <si>
    <t>PO-92557</t>
  </si>
  <si>
    <t>INV-2024136</t>
  </si>
  <si>
    <t>PO-76444</t>
  </si>
  <si>
    <t>INV-2024192</t>
  </si>
  <si>
    <t>PO-38426</t>
  </si>
  <si>
    <t>INV-2024207</t>
  </si>
  <si>
    <t>PO-46624</t>
  </si>
  <si>
    <t>INV-2024157</t>
  </si>
  <si>
    <t>PO-33425</t>
  </si>
  <si>
    <t>INV-2024105</t>
  </si>
  <si>
    <t>PO-69663</t>
  </si>
  <si>
    <t>INV-2024255</t>
  </si>
  <si>
    <t>PO-26760</t>
  </si>
  <si>
    <t>INV-2024016</t>
  </si>
  <si>
    <t>PO-67905</t>
  </si>
  <si>
    <t>INV-2024412</t>
  </si>
  <si>
    <t>PO-84270</t>
  </si>
  <si>
    <t>INV-2024057</t>
  </si>
  <si>
    <t>INV-2024187</t>
  </si>
  <si>
    <t>PO-63903</t>
  </si>
  <si>
    <t>INV-2024416</t>
  </si>
  <si>
    <t>PO-46338</t>
  </si>
  <si>
    <t>INV-2024450</t>
  </si>
  <si>
    <t>INV-2024089</t>
  </si>
  <si>
    <t>INV-2024215</t>
  </si>
  <si>
    <t>PO-92656</t>
  </si>
  <si>
    <t>INV-2024081</t>
  </si>
  <si>
    <t>INV-2024339</t>
  </si>
  <si>
    <t>PO-29442</t>
  </si>
  <si>
    <t>INV-2024191</t>
  </si>
  <si>
    <t>PO-59634</t>
  </si>
  <si>
    <t>INV-2024425</t>
  </si>
  <si>
    <t>PO-76448</t>
  </si>
  <si>
    <t>INV-2024380</t>
  </si>
  <si>
    <t>PO-86626</t>
  </si>
  <si>
    <t>INV-2024032</t>
  </si>
  <si>
    <t>PO-86931</t>
  </si>
  <si>
    <t>INV-2024020</t>
  </si>
  <si>
    <t>PO-16590</t>
  </si>
  <si>
    <t>INV-2024241</t>
  </si>
  <si>
    <t>PO-12316</t>
  </si>
  <si>
    <t>INV-2024072</t>
  </si>
  <si>
    <t>PO-31298</t>
  </si>
  <si>
    <t>INV-2024080</t>
  </si>
  <si>
    <t>PO-25376</t>
  </si>
  <si>
    <t>INV-2024266</t>
  </si>
  <si>
    <t>Greenfield Packaging Co.</t>
  </si>
  <si>
    <t>PO-73748</t>
  </si>
  <si>
    <t>INV-2024387</t>
  </si>
  <si>
    <t>INV-2024430</t>
  </si>
  <si>
    <t>PO-99966</t>
  </si>
  <si>
    <t>INV-2024290</t>
  </si>
  <si>
    <t>PO-66848</t>
  </si>
  <si>
    <t>INV-2024091</t>
  </si>
  <si>
    <t>PO-70694</t>
  </si>
  <si>
    <t>INV-2024128</t>
  </si>
  <si>
    <t>PO-17086</t>
  </si>
  <si>
    <t>INV-2024073</t>
  </si>
  <si>
    <t>PO-44282</t>
  </si>
  <si>
    <t>INV-2024024</t>
  </si>
  <si>
    <t>PO-41890</t>
  </si>
  <si>
    <t>INV-2024418</t>
  </si>
  <si>
    <t>PO-60129</t>
  </si>
  <si>
    <t>INV-2024141</t>
  </si>
  <si>
    <t>PO-42841</t>
  </si>
  <si>
    <t>INV-2024328</t>
  </si>
  <si>
    <t>PO-26343</t>
  </si>
  <si>
    <t>INV-2024242</t>
  </si>
  <si>
    <t>PO-83695</t>
  </si>
  <si>
    <t>INV-2024422</t>
  </si>
  <si>
    <t>PO-34673</t>
  </si>
  <si>
    <t>INV-2024044</t>
  </si>
  <si>
    <t>PO-24184</t>
  </si>
  <si>
    <t>INV-2024381</t>
  </si>
  <si>
    <t>PO-76296</t>
  </si>
  <si>
    <t>INV-2024154</t>
  </si>
  <si>
    <t>PO-38389</t>
  </si>
  <si>
    <t>INV-2024223</t>
  </si>
  <si>
    <t>INV-2024034</t>
  </si>
  <si>
    <t>PO-21846</t>
  </si>
  <si>
    <t>INV-2024159</t>
  </si>
  <si>
    <t>PO-62354</t>
  </si>
  <si>
    <t>INV-2024442</t>
  </si>
  <si>
    <t>PO-25675</t>
  </si>
  <si>
    <t>INV-2024371</t>
  </si>
  <si>
    <t>PO-67847</t>
  </si>
  <si>
    <t>INV-2024392</t>
  </si>
  <si>
    <t>INV-2024358</t>
  </si>
  <si>
    <t>INV-2024216</t>
  </si>
  <si>
    <t>PO-85936</t>
  </si>
  <si>
    <t>INV-2024432</t>
  </si>
  <si>
    <t>PO-44206</t>
  </si>
  <si>
    <t>INV-2024424</t>
  </si>
  <si>
    <t>PO-30807</t>
  </si>
  <si>
    <t>INV-2024009</t>
  </si>
  <si>
    <t>PO-73788</t>
  </si>
  <si>
    <t>INV-2024234</t>
  </si>
  <si>
    <t>INV-2024058</t>
  </si>
  <si>
    <t>PO-78062</t>
  </si>
  <si>
    <t>INV-2024261</t>
  </si>
  <si>
    <t>PO-69637</t>
  </si>
  <si>
    <t>INV-2024131</t>
  </si>
  <si>
    <t>PO-16322</t>
  </si>
  <si>
    <t>INV-2024245</t>
  </si>
  <si>
    <t>PO-36224</t>
  </si>
  <si>
    <t>INV-2024185</t>
  </si>
  <si>
    <t>INV-2024350</t>
  </si>
  <si>
    <t>PO-84304</t>
  </si>
  <si>
    <t>INV-2024047</t>
  </si>
  <si>
    <t>PO-52568</t>
  </si>
  <si>
    <t>INV-2024345</t>
  </si>
  <si>
    <t>PO-41784</t>
  </si>
  <si>
    <t>INV-2024213</t>
  </si>
  <si>
    <t>PO-80861</t>
  </si>
  <si>
    <t>INV-2024163</t>
  </si>
  <si>
    <t>PO-25776</t>
  </si>
  <si>
    <t>INV-2024184</t>
  </si>
  <si>
    <t>PO-16957</t>
  </si>
  <si>
    <t>INV-2024310</t>
  </si>
  <si>
    <t>PO-60172</t>
  </si>
  <si>
    <t>INV-2024251</t>
  </si>
  <si>
    <t>PO-92352</t>
  </si>
  <si>
    <t>INV-2024062</t>
  </si>
  <si>
    <t>PO-30056</t>
  </si>
  <si>
    <t>INV-2024108</t>
  </si>
  <si>
    <t>PO-67014</t>
  </si>
  <si>
    <t>INV-2024376</t>
  </si>
  <si>
    <t>PO-99853</t>
  </si>
  <si>
    <t>INV-2024063</t>
  </si>
  <si>
    <t>PO-95344</t>
  </si>
  <si>
    <t>INV-2024265</t>
  </si>
  <si>
    <t>PO-37159</t>
  </si>
  <si>
    <t>INV-2024297</t>
  </si>
  <si>
    <t>PO-30582</t>
  </si>
  <si>
    <t>INV-2024260</t>
  </si>
  <si>
    <t>PO-42591</t>
  </si>
  <si>
    <t>INV-2024090</t>
  </si>
  <si>
    <t>PO-57124</t>
  </si>
  <si>
    <t>INV-2024048</t>
  </si>
  <si>
    <t>PO-40968</t>
  </si>
  <si>
    <t>INV-2024401</t>
  </si>
  <si>
    <t>PO-72535</t>
  </si>
  <si>
    <t>INV-2024303</t>
  </si>
  <si>
    <t>INV-2024362</t>
  </si>
  <si>
    <t>INV-2024404</t>
  </si>
  <si>
    <t>PO-56362</t>
  </si>
  <si>
    <t>INV-2024102</t>
  </si>
  <si>
    <t>PO-60578</t>
  </si>
  <si>
    <t>INV-2024205</t>
  </si>
  <si>
    <t>PO-91948</t>
  </si>
  <si>
    <t>INV-2024225</t>
  </si>
  <si>
    <t>PO-18782</t>
  </si>
  <si>
    <t>INV-2024229</t>
  </si>
  <si>
    <t>PO-29055</t>
  </si>
  <si>
    <t>INV-2024026</t>
  </si>
  <si>
    <t>PO-18564</t>
  </si>
  <si>
    <t>INV-2024195</t>
  </si>
  <si>
    <t>PO-91980</t>
  </si>
  <si>
    <t>INV-2024431</t>
  </si>
  <si>
    <t>PO-55270</t>
  </si>
  <si>
    <t>INV-2024228</t>
  </si>
  <si>
    <t>PO-69759</t>
  </si>
  <si>
    <t>PO-18996</t>
  </si>
  <si>
    <t>INV-2024193</t>
  </si>
  <si>
    <t>PO-98092</t>
  </si>
  <si>
    <t>INV-2024064</t>
  </si>
  <si>
    <t>PO-23917</t>
  </si>
  <si>
    <t>INV-2024226</t>
  </si>
  <si>
    <t>PO-69241</t>
  </si>
  <si>
    <t>INV-2024071</t>
  </si>
  <si>
    <t>PO-47409</t>
  </si>
  <si>
    <t>INV-2024391</t>
  </si>
  <si>
    <t>PO-38873</t>
  </si>
  <si>
    <t>INV-2024402</t>
  </si>
  <si>
    <t>PO-60340</t>
  </si>
  <si>
    <t>INV-2024112</t>
  </si>
  <si>
    <t>PO-71824</t>
  </si>
  <si>
    <t>INV-2024120</t>
  </si>
  <si>
    <t>PO-36465</t>
  </si>
  <si>
    <t>INV-2024139</t>
  </si>
  <si>
    <t>PO-26827</t>
  </si>
  <si>
    <t>PO-12048</t>
  </si>
  <si>
    <t>INV-2024084</t>
  </si>
  <si>
    <t>INV-2024156</t>
  </si>
  <si>
    <t>PO-20986</t>
  </si>
  <si>
    <t>INV-2024104</t>
  </si>
  <si>
    <t>PO-50539</t>
  </si>
  <si>
    <t>INV-2024107</t>
  </si>
  <si>
    <t>PO-40539</t>
  </si>
  <si>
    <t>INV-2024337</t>
  </si>
  <si>
    <t>PO-77213</t>
  </si>
  <si>
    <t>INV-2024118</t>
  </si>
  <si>
    <t>PO-74106</t>
  </si>
  <si>
    <t>INV-2024162</t>
  </si>
  <si>
    <t>PO-20287</t>
  </si>
  <si>
    <t>INV-2024410</t>
  </si>
  <si>
    <t>PO-22524</t>
  </si>
  <si>
    <t>INV-2024036</t>
  </si>
  <si>
    <t>PO-16428</t>
  </si>
  <si>
    <t>INV-2024179</t>
  </si>
  <si>
    <t>PO-46170</t>
  </si>
  <si>
    <t>INV-2024277</t>
  </si>
  <si>
    <t>INV-2024066</t>
  </si>
  <si>
    <t>PO-26864</t>
  </si>
  <si>
    <t>INV-2024021</t>
  </si>
  <si>
    <t>PO-58351</t>
  </si>
  <si>
    <t>INV-2024309</t>
  </si>
  <si>
    <t>INV-2024274</t>
  </si>
  <si>
    <t>PO-10273</t>
  </si>
  <si>
    <t>INV-2024014</t>
  </si>
  <si>
    <t>INV-2024052</t>
  </si>
  <si>
    <t>PO-91006</t>
  </si>
  <si>
    <t>INV-2024093</t>
  </si>
  <si>
    <t>PO-79168</t>
  </si>
  <si>
    <t>INV-2024158</t>
  </si>
  <si>
    <t>PO-20490</t>
  </si>
  <si>
    <t>INV-2024106</t>
  </si>
  <si>
    <t>PO-98254</t>
  </si>
  <si>
    <t>INV-2024076</t>
  </si>
  <si>
    <t>PO-99486</t>
  </si>
  <si>
    <t>INV-2024396</t>
  </si>
  <si>
    <t>PO-56312</t>
  </si>
  <si>
    <t>INV-2024097</t>
  </si>
  <si>
    <t>PO-29168</t>
  </si>
  <si>
    <t>INV-2024079</t>
  </si>
  <si>
    <t>PO-83044</t>
  </si>
  <si>
    <t>INV-2024296</t>
  </si>
  <si>
    <t>PO-80056</t>
  </si>
  <si>
    <t>INV-2024367</t>
  </si>
  <si>
    <t>PO-11362</t>
  </si>
  <si>
    <t>INV-2024182</t>
  </si>
  <si>
    <t>PO-99749</t>
  </si>
  <si>
    <t>INV-2024426</t>
  </si>
  <si>
    <t>PO-36649</t>
  </si>
  <si>
    <t>INV-2024395</t>
  </si>
  <si>
    <t>PO-51160</t>
  </si>
  <si>
    <t>INV-2024103</t>
  </si>
  <si>
    <t>PO-65518</t>
  </si>
  <si>
    <t>INV-2024341</t>
  </si>
  <si>
    <t>PO-81252</t>
  </si>
  <si>
    <t>INV-2024335</t>
  </si>
  <si>
    <t>PO-92517</t>
  </si>
  <si>
    <t>INV-2024235</t>
  </si>
  <si>
    <t>PO-38981</t>
  </si>
  <si>
    <t>INV-2024273</t>
  </si>
  <si>
    <t>PO-30557</t>
  </si>
  <si>
    <t>INV-2024168</t>
  </si>
  <si>
    <t>INV-2024394</t>
  </si>
  <si>
    <t>PO-84852</t>
  </si>
  <si>
    <t>INV-2024346</t>
  </si>
  <si>
    <t>PO-11731</t>
  </si>
  <si>
    <t>INV-2024300</t>
  </si>
  <si>
    <t>PO-52875</t>
  </si>
  <si>
    <t>INV-2024115</t>
  </si>
  <si>
    <t>PO-38953</t>
  </si>
  <si>
    <t>INV-2024133</t>
  </si>
  <si>
    <t>PO-15170</t>
  </si>
  <si>
    <t>INV-2024443</t>
  </si>
  <si>
    <t>PO-95302</t>
  </si>
  <si>
    <t>INV-2024219</t>
  </si>
  <si>
    <t>PO-22541</t>
  </si>
  <si>
    <t>INV-2024166</t>
  </si>
  <si>
    <t>PO-31964</t>
  </si>
  <si>
    <t>INV-2024116</t>
  </si>
  <si>
    <t>PO-85766</t>
  </si>
  <si>
    <t>INV-2024005</t>
  </si>
  <si>
    <t>PO-44522</t>
  </si>
  <si>
    <t>INV-2024010</t>
  </si>
  <si>
    <t>PO-44179</t>
  </si>
  <si>
    <t>INV-2024200</t>
  </si>
  <si>
    <t>INV-2024320</t>
  </si>
  <si>
    <t>PO-33544</t>
  </si>
  <si>
    <t>INV-2024004</t>
  </si>
  <si>
    <t>PO-62350</t>
  </si>
  <si>
    <t>INV-2024151</t>
  </si>
  <si>
    <t>PO-99674</t>
  </si>
  <si>
    <t>INV-2024437</t>
  </si>
  <si>
    <t>PO-89223</t>
  </si>
  <si>
    <t>INV-2024011</t>
  </si>
  <si>
    <t>PO-82692</t>
  </si>
  <si>
    <t>PO-87539</t>
  </si>
  <si>
    <t>INV-2024420</t>
  </si>
  <si>
    <t>PO-32179</t>
  </si>
  <si>
    <t>INV-2024444</t>
  </si>
  <si>
    <t>PO-81089</t>
  </si>
  <si>
    <t>INV-2024355</t>
  </si>
  <si>
    <t>PO-63265</t>
  </si>
  <si>
    <t>INV-2024400</t>
  </si>
  <si>
    <t>PO-23237</t>
  </si>
  <si>
    <t>INV-2024271</t>
  </si>
  <si>
    <t>PO-86230</t>
  </si>
  <si>
    <t>INV-2024233</t>
  </si>
  <si>
    <t>PO-13728</t>
  </si>
  <si>
    <t>INV-2024174</t>
  </si>
  <si>
    <t>PO-48628</t>
  </si>
  <si>
    <t>INV-2024295</t>
  </si>
  <si>
    <t>PO-28212</t>
  </si>
  <si>
    <t>INV-2024332</t>
  </si>
  <si>
    <t>PO-98907</t>
  </si>
  <si>
    <t>INV-2024094</t>
  </si>
  <si>
    <t>PO-93296</t>
  </si>
  <si>
    <t>INV-2024170</t>
  </si>
  <si>
    <t>PO-99737</t>
  </si>
  <si>
    <t>PO-51922</t>
  </si>
  <si>
    <t>INV-2024078</t>
  </si>
  <si>
    <t>PO-17989</t>
  </si>
  <si>
    <t>INV-2024379</t>
  </si>
  <si>
    <t>PO-41804</t>
  </si>
  <si>
    <t>INV-2024232</t>
  </si>
  <si>
    <t>PO-59253</t>
  </si>
  <si>
    <t>INV-2024239</t>
  </si>
  <si>
    <t>INV-2024142</t>
  </si>
  <si>
    <t>PO-39563</t>
  </si>
  <si>
    <t>INV-2024419</t>
  </si>
  <si>
    <t>PO-71709</t>
  </si>
  <si>
    <t>INV-2024221</t>
  </si>
  <si>
    <t>PO-33338</t>
  </si>
  <si>
    <t>INV-2024351</t>
  </si>
  <si>
    <t>PO-47568</t>
  </si>
  <si>
    <t>INV-2024393</t>
  </si>
  <si>
    <t>INV-2024038</t>
  </si>
  <si>
    <t>PO-98125</t>
  </si>
  <si>
    <t>INV-2024385</t>
  </si>
  <si>
    <t>PO-67872</t>
  </si>
  <si>
    <t>INV-2024098</t>
  </si>
  <si>
    <t>PO-97050</t>
  </si>
  <si>
    <t>INV-2024333</t>
  </si>
  <si>
    <t>PO-93162</t>
  </si>
  <si>
    <t>INV-2024313</t>
  </si>
  <si>
    <t>PO-13365</t>
  </si>
  <si>
    <t>INV-A2024028</t>
  </si>
  <si>
    <t>INV-ABC2024018</t>
  </si>
  <si>
    <t>INV-ABC2024023</t>
  </si>
  <si>
    <t>INV-ABC2024031</t>
  </si>
  <si>
    <t>INV-ABC2024110</t>
  </si>
  <si>
    <t>INV-ABC2024165</t>
  </si>
  <si>
    <t>INV-ABC2024206</t>
  </si>
  <si>
    <t>INV-ABC2024369</t>
  </si>
  <si>
    <t>INVABC-2024370</t>
  </si>
  <si>
    <t>Brightpath Consulting</t>
  </si>
  <si>
    <t>Novatech Hardware</t>
  </si>
  <si>
    <t>PO-87397</t>
  </si>
  <si>
    <t>PO-80282</t>
  </si>
  <si>
    <t>PO-33582</t>
  </si>
  <si>
    <t>PO-41186</t>
  </si>
  <si>
    <t>PO-99353</t>
  </si>
  <si>
    <t>PO-20890</t>
  </si>
  <si>
    <t>PO-99015</t>
  </si>
  <si>
    <t>PO-72910</t>
  </si>
  <si>
    <t>PO-64357</t>
  </si>
  <si>
    <t>PO-69475</t>
  </si>
  <si>
    <t>PO-87458</t>
  </si>
  <si>
    <t>PO-22733</t>
  </si>
  <si>
    <t>PO-21923</t>
  </si>
  <si>
    <t>PO-49709</t>
  </si>
  <si>
    <t>Unpaid</t>
  </si>
  <si>
    <t>Utilities</t>
  </si>
  <si>
    <t>Unknown</t>
  </si>
  <si>
    <t>Unassigned</t>
  </si>
  <si>
    <t>Invoice ID</t>
  </si>
  <si>
    <t>Invoice Month</t>
  </si>
  <si>
    <t>Is Overdue</t>
  </si>
  <si>
    <t>Row Labels</t>
  </si>
  <si>
    <t>Grand Total</t>
  </si>
  <si>
    <t>Sum of Invoice Amount</t>
  </si>
  <si>
    <t>Count of Invoice Amount</t>
  </si>
  <si>
    <t>Top 10 Vendors</t>
  </si>
  <si>
    <t>Average of Invoice Amount</t>
  </si>
  <si>
    <t>Department Spend</t>
  </si>
  <si>
    <t>Jan</t>
  </si>
  <si>
    <t>Feb</t>
  </si>
  <si>
    <t>Mar</t>
  </si>
  <si>
    <t>Apr</t>
  </si>
  <si>
    <t>May</t>
  </si>
  <si>
    <t>Jun</t>
  </si>
  <si>
    <t>Jul</t>
  </si>
  <si>
    <t>Aug</t>
  </si>
  <si>
    <t>Sep</t>
  </si>
  <si>
    <t>Oct</t>
  </si>
  <si>
    <t>Nov</t>
  </si>
  <si>
    <t>Dec</t>
  </si>
  <si>
    <t>Monthly Trends</t>
  </si>
  <si>
    <t>Count of Invoice ID</t>
  </si>
  <si>
    <t xml:space="preserve">Count of Payment Status </t>
  </si>
  <si>
    <t>Count of Department</t>
  </si>
  <si>
    <t>Department Counts by Categories</t>
  </si>
  <si>
    <t>Approval Pipeline</t>
  </si>
  <si>
    <t>KPI CARDS</t>
  </si>
  <si>
    <t>PIVOT TABLES</t>
  </si>
  <si>
    <t>Sum of Tax Amount</t>
  </si>
  <si>
    <t>% Overdue</t>
  </si>
  <si>
    <t>4. Average Invoice Value</t>
  </si>
  <si>
    <t>1. Total Invoice Amount</t>
  </si>
  <si>
    <t>3. Total Invoices Count</t>
  </si>
  <si>
    <t>6. Total Tax Amount</t>
  </si>
  <si>
    <t>5. % Overdue</t>
  </si>
  <si>
    <t>Count of Invoice by Payment Status</t>
  </si>
  <si>
    <t>Filters / Slicers (interactive)</t>
  </si>
  <si>
    <t>2. Outstanding Amount by Payment Status</t>
  </si>
  <si>
    <t xml:space="preserve"> </t>
  </si>
  <si>
    <t>Total &amp; Count Invoice of Payment Status</t>
  </si>
  <si>
    <t>Country Wise Invoice Amount</t>
  </si>
  <si>
    <t>For creating Map</t>
  </si>
  <si>
    <t xml:space="preserve"> Overdue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</si>
</sst>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14C09]d\ mmm\ yyyy;@"/>
    <numFmt numFmtId="166" formatCode="&quot;$&quot;#,##0"/>
    <numFmt numFmtId="167" formatCode="[$₹-449]\ #,##0"/>
  </numFmts>
  <fonts count="12" x14ac:knownFonts="1">
    <font>
      <sz val="11"/>
      <color theme="1"/>
      <name val="Calibri"/>
      <family val="2"/>
      <scheme val="minor"/>
    </font>
    <font>
      <b/>
      <sz val="11"/>
      <name val="Arial"/>
      <family val="2"/>
    </font>
    <font>
      <sz val="11"/>
      <name val="Arial"/>
      <family val="2"/>
    </font>
    <font>
      <b/>
      <sz val="11"/>
      <name val="Arial"/>
      <family val="2"/>
    </font>
    <font>
      <sz val="11"/>
      <name val="Arial"/>
      <family val="2"/>
    </font>
    <font>
      <sz val="8"/>
      <name val="Calibri"/>
      <family val="2"/>
      <scheme val="minor"/>
    </font>
    <font>
      <sz val="11"/>
      <color theme="1"/>
      <name val="Arial"/>
      <family val="2"/>
    </font>
    <font>
      <sz val="11"/>
      <color theme="1"/>
      <name val="Calibri"/>
      <family val="2"/>
      <scheme val="minor"/>
    </font>
    <font>
      <b/>
      <sz val="11"/>
      <color theme="1"/>
      <name val="Calibri"/>
      <family val="2"/>
      <scheme val="minor"/>
    </font>
    <font>
      <sz val="11"/>
      <color theme="9" tint="0.79998168889431442"/>
      <name val="Calibri"/>
      <family val="2"/>
      <scheme val="minor"/>
    </font>
    <font>
      <b/>
      <sz val="18"/>
      <color theme="1"/>
      <name val="Algerian"/>
      <family val="5"/>
    </font>
    <font>
      <sz val="11"/>
      <color theme="9"/>
      <name val="Calibri"/>
      <family val="2"/>
      <scheme val="minor"/>
    </font>
  </fonts>
  <fills count="7">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
      <patternFill patternType="solid">
        <fgColor theme="9"/>
        <bgColor theme="9"/>
      </patternFill>
    </fill>
    <fill>
      <patternFill patternType="solid">
        <fgColor theme="9" tint="-0.249977111117893"/>
        <bgColor theme="9" tint="-0.249977111117893"/>
      </patternFill>
    </fill>
    <fill>
      <patternFill patternType="solid">
        <fgColor theme="9" tint="-0.499984740745262"/>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left>
      <right/>
      <top/>
      <bottom/>
      <diagonal/>
    </border>
    <border>
      <left/>
      <right style="thin">
        <color theme="0"/>
      </right>
      <top/>
      <bottom style="medium">
        <color theme="0"/>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style="thin">
        <color theme="0"/>
      </left>
      <right/>
      <top style="medium">
        <color indexed="64"/>
      </top>
      <bottom/>
      <diagonal/>
    </border>
    <border>
      <left/>
      <right/>
      <top style="medium">
        <color indexed="64"/>
      </top>
      <bottom/>
      <diagonal/>
    </border>
  </borders>
  <cellStyleXfs count="2">
    <xf numFmtId="0" fontId="0" fillId="0" borderId="0"/>
    <xf numFmtId="9" fontId="7" fillId="0" borderId="0" applyFont="0" applyFill="0" applyBorder="0" applyAlignment="0" applyProtection="0"/>
  </cellStyleXfs>
  <cellXfs count="74">
    <xf numFmtId="0" fontId="0" fillId="0" borderId="0" xfId="0"/>
    <xf numFmtId="164" fontId="1" fillId="0" borderId="0" xfId="0" applyNumberFormat="1" applyFont="1" applyAlignment="1">
      <alignment horizontal="right"/>
    </xf>
    <xf numFmtId="164" fontId="2" fillId="0" borderId="0" xfId="0" applyNumberFormat="1" applyFont="1" applyAlignment="1">
      <alignment horizontal="right"/>
    </xf>
    <xf numFmtId="49" fontId="3" fillId="0" borderId="0" xfId="0" applyNumberFormat="1" applyFont="1"/>
    <xf numFmtId="49" fontId="4" fillId="0" borderId="0" xfId="0" applyNumberFormat="1" applyFont="1"/>
    <xf numFmtId="49" fontId="6" fillId="0" borderId="0" xfId="0" applyNumberFormat="1" applyFont="1"/>
    <xf numFmtId="0" fontId="4" fillId="0" borderId="0" xfId="0" applyFont="1"/>
    <xf numFmtId="0" fontId="3" fillId="0" borderId="0" xfId="0" applyFont="1"/>
    <xf numFmtId="49" fontId="2" fillId="0" borderId="0" xfId="0" applyNumberFormat="1" applyFont="1"/>
    <xf numFmtId="0" fontId="2" fillId="0" borderId="0" xfId="0" applyFont="1"/>
    <xf numFmtId="165" fontId="2" fillId="0" borderId="0" xfId="0" applyNumberFormat="1" applyFont="1"/>
    <xf numFmtId="165" fontId="0" fillId="0" borderId="0" xfId="0" applyNumberFormat="1"/>
    <xf numFmtId="165" fontId="1" fillId="0" borderId="0" xfId="0" applyNumberFormat="1" applyFont="1"/>
    <xf numFmtId="165" fontId="1" fillId="0" borderId="0" xfId="0" applyNumberFormat="1" applyFont="1" applyAlignment="1">
      <alignment horizontal="center"/>
    </xf>
    <xf numFmtId="165" fontId="2" fillId="0" borderId="0" xfId="0" applyNumberFormat="1" applyFont="1" applyAlignment="1">
      <alignment horizontal="center"/>
    </xf>
    <xf numFmtId="165" fontId="1" fillId="0" borderId="0" xfId="0" applyNumberFormat="1" applyFont="1" applyAlignment="1">
      <alignment horizontal="center" vertical="center"/>
    </xf>
    <xf numFmtId="0" fontId="6" fillId="0" borderId="0" xfId="0" applyFont="1" applyAlignment="1">
      <alignment horizontal="center" vertical="center"/>
    </xf>
    <xf numFmtId="165" fontId="2" fillId="0" borderId="0" xfId="0" applyNumberFormat="1" applyFont="1" applyAlignment="1">
      <alignment horizontal="center" vertical="center"/>
    </xf>
    <xf numFmtId="165" fontId="6" fillId="0" borderId="0" xfId="0" applyNumberFormat="1" applyFont="1" applyAlignment="1">
      <alignment horizontal="center" vertical="center"/>
    </xf>
    <xf numFmtId="0" fontId="1" fillId="0" borderId="0" xfId="0" applyFont="1"/>
    <xf numFmtId="0" fontId="0" fillId="0" borderId="0" xfId="0" pivotButton="1"/>
    <xf numFmtId="0" fontId="0" fillId="0" borderId="0" xfId="0" applyAlignment="1">
      <alignment horizontal="left"/>
    </xf>
    <xf numFmtId="165" fontId="0" fillId="0" borderId="0" xfId="0" applyNumberFormat="1" applyAlignment="1">
      <alignment horizontal="center"/>
    </xf>
    <xf numFmtId="165" fontId="3" fillId="0" borderId="0" xfId="0" applyNumberFormat="1" applyFont="1" applyAlignment="1">
      <alignment horizontal="center"/>
    </xf>
    <xf numFmtId="165" fontId="4" fillId="0" borderId="0" xfId="0" applyNumberFormat="1" applyFont="1" applyAlignment="1">
      <alignment horizontal="center"/>
    </xf>
    <xf numFmtId="49" fontId="3" fillId="0" borderId="0" xfId="0" applyNumberFormat="1" applyFont="1" applyAlignment="1">
      <alignment horizontal="center"/>
    </xf>
    <xf numFmtId="49" fontId="4" fillId="0" borderId="0" xfId="0" applyNumberFormat="1" applyFont="1" applyAlignment="1">
      <alignment horizontal="center"/>
    </xf>
    <xf numFmtId="49" fontId="6" fillId="0" borderId="0" xfId="0" applyNumberFormat="1" applyFont="1" applyAlignment="1">
      <alignment horizontal="center"/>
    </xf>
    <xf numFmtId="49" fontId="2" fillId="0" borderId="0" xfId="0" applyNumberFormat="1" applyFont="1" applyAlignment="1">
      <alignment horizontal="center"/>
    </xf>
    <xf numFmtId="49" fontId="1" fillId="0" borderId="0" xfId="0" applyNumberFormat="1" applyFont="1"/>
    <xf numFmtId="0" fontId="4" fillId="0" borderId="0" xfId="0" applyFont="1" applyAlignment="1">
      <alignment horizontal="center"/>
    </xf>
    <xf numFmtId="1" fontId="1" fillId="0" borderId="0" xfId="0" applyNumberFormat="1" applyFont="1" applyAlignment="1">
      <alignment horizontal="center"/>
    </xf>
    <xf numFmtId="1" fontId="2" fillId="0" borderId="0" xfId="0" applyNumberFormat="1" applyFont="1" applyAlignment="1">
      <alignment horizontal="center"/>
    </xf>
    <xf numFmtId="0" fontId="0" fillId="0" borderId="0" xfId="0" applyAlignment="1">
      <alignment horizontal="center"/>
    </xf>
    <xf numFmtId="0" fontId="0" fillId="0" borderId="4" xfId="0" pivotButton="1" applyBorder="1"/>
    <xf numFmtId="0" fontId="0" fillId="0" borderId="4" xfId="0" applyBorder="1" applyAlignment="1">
      <alignment horizontal="left"/>
    </xf>
    <xf numFmtId="0" fontId="0" fillId="0" borderId="10" xfId="0" pivotButton="1" applyBorder="1"/>
    <xf numFmtId="0" fontId="0" fillId="0" borderId="11" xfId="0" applyBorder="1" applyAlignment="1">
      <alignment horizontal="left"/>
    </xf>
    <xf numFmtId="0" fontId="0" fillId="0" borderId="10" xfId="0" applyBorder="1" applyAlignment="1">
      <alignment horizontal="left"/>
    </xf>
    <xf numFmtId="0" fontId="0" fillId="0" borderId="10" xfId="0" applyBorder="1"/>
    <xf numFmtId="0" fontId="8" fillId="3" borderId="1" xfId="0" applyFont="1" applyFill="1" applyBorder="1" applyAlignment="1">
      <alignment horizontal="center" vertical="center"/>
    </xf>
    <xf numFmtId="166" fontId="0" fillId="0" borderId="11" xfId="0" applyNumberFormat="1" applyBorder="1"/>
    <xf numFmtId="166" fontId="0" fillId="0" borderId="10" xfId="0" applyNumberFormat="1" applyBorder="1"/>
    <xf numFmtId="166" fontId="0" fillId="0" borderId="5" xfId="0" applyNumberFormat="1" applyBorder="1"/>
    <xf numFmtId="166" fontId="0" fillId="0" borderId="7" xfId="0" applyNumberFormat="1" applyBorder="1"/>
    <xf numFmtId="0" fontId="0" fillId="0" borderId="6" xfId="0" applyBorder="1"/>
    <xf numFmtId="0" fontId="0" fillId="0" borderId="7" xfId="0" applyBorder="1"/>
    <xf numFmtId="0" fontId="11" fillId="6" borderId="0" xfId="0" applyFont="1" applyFill="1"/>
    <xf numFmtId="167" fontId="0" fillId="0" borderId="0" xfId="0" applyNumberFormat="1"/>
    <xf numFmtId="0" fontId="0" fillId="0" borderId="4" xfId="0" applyBorder="1"/>
    <xf numFmtId="0" fontId="0" fillId="0" borderId="5" xfId="0" applyBorder="1"/>
    <xf numFmtId="0" fontId="0" fillId="0" borderId="11" xfId="0" applyBorder="1"/>
    <xf numFmtId="49" fontId="0" fillId="0" borderId="0" xfId="0" applyNumberFormat="1"/>
    <xf numFmtId="2" fontId="0" fillId="0" borderId="0" xfId="0" applyNumberFormat="1"/>
    <xf numFmtId="2" fontId="9" fillId="5" borderId="9" xfId="0" applyNumberFormat="1" applyFont="1" applyFill="1" applyBorder="1"/>
    <xf numFmtId="2" fontId="9" fillId="4" borderId="8" xfId="0" applyNumberFormat="1" applyFont="1" applyFill="1" applyBorder="1"/>
    <xf numFmtId="49" fontId="0" fillId="0" borderId="0" xfId="0" pivotButton="1" applyNumberFormat="1"/>
    <xf numFmtId="49" fontId="0" fillId="0" borderId="0" xfId="0" applyNumberFormat="1" applyAlignment="1">
      <alignment horizontal="left"/>
    </xf>
    <xf numFmtId="2" fontId="8" fillId="3" borderId="0" xfId="0" applyNumberFormat="1" applyFont="1" applyFill="1" applyAlignment="1">
      <alignment vertical="center"/>
    </xf>
    <xf numFmtId="9" fontId="9" fillId="4" borderId="8" xfId="1" applyFont="1" applyFill="1" applyBorder="1"/>
    <xf numFmtId="0" fontId="10" fillId="2" borderId="4" xfId="0" applyFont="1" applyFill="1" applyBorder="1" applyAlignment="1">
      <alignment horizontal="center"/>
    </xf>
    <xf numFmtId="0" fontId="10" fillId="2" borderId="0" xfId="0" applyFont="1" applyFill="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2" borderId="2" xfId="0" applyFont="1" applyFill="1" applyBorder="1" applyAlignment="1">
      <alignment horizontal="center"/>
    </xf>
    <xf numFmtId="0" fontId="8" fillId="2" borderId="3" xfId="0" applyFont="1" applyFill="1" applyBorder="1" applyAlignment="1">
      <alignment horizontal="center"/>
    </xf>
    <xf numFmtId="0" fontId="8" fillId="2" borderId="12" xfId="0" applyFont="1" applyFill="1" applyBorder="1" applyAlignment="1">
      <alignment horizontal="center"/>
    </xf>
    <xf numFmtId="0" fontId="10" fillId="2" borderId="2" xfId="0" applyFont="1" applyFill="1" applyBorder="1" applyAlignment="1">
      <alignment horizontal="center"/>
    </xf>
    <xf numFmtId="0" fontId="10" fillId="2" borderId="3" xfId="0" applyFont="1" applyFill="1" applyBorder="1" applyAlignment="1">
      <alignment horizont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10" fillId="2" borderId="12" xfId="0" applyFont="1" applyFill="1" applyBorder="1" applyAlignment="1">
      <alignment horizontal="center"/>
    </xf>
    <xf numFmtId="167" fontId="9" fillId="4" borderId="13" xfId="0" applyNumberFormat="1" applyFont="1" applyFill="1" applyBorder="1" applyAlignment="1">
      <alignment horizontal="center"/>
    </xf>
    <xf numFmtId="167" fontId="9" fillId="4" borderId="14" xfId="0" applyNumberFormat="1" applyFont="1" applyFill="1" applyBorder="1" applyAlignment="1">
      <alignment horizontal="center"/>
    </xf>
  </cellXfs>
  <cellStyles count="2">
    <cellStyle name="Normal" xfId="0" builtinId="0"/>
    <cellStyle name="Percent" xfId="1" builtinId="5"/>
  </cellStyles>
  <dxfs count="87">
    <dxf>
      <font>
        <color rgb="FF9C0006"/>
      </font>
      <fill>
        <patternFill>
          <bgColor rgb="FFFFC7CE"/>
        </patternFill>
      </fill>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scheme val="none"/>
      </font>
      <numFmt numFmtId="165" formatCode="[$-14C09]d\ mmm\ yyyy;@"/>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1" formatCode="0"/>
      <alignment horizontal="center"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30" formatCode="@"/>
      <alignment horizontal="center" textRotation="0" wrapText="0" indent="0" justifyLastLine="0" shrinkToFit="0" readingOrder="0"/>
    </dxf>
    <dxf>
      <font>
        <b val="0"/>
        <i val="0"/>
        <strike val="0"/>
        <condense val="0"/>
        <extend val="0"/>
        <outline val="0"/>
        <shadow val="0"/>
        <u val="none"/>
        <vertAlign val="baseline"/>
        <sz val="11"/>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numFmt numFmtId="165" formatCode="[$-14C09]d\ mmm\ yyyy;@"/>
      <alignment horizontal="center" textRotation="0" wrapText="0" indent="0" justifyLastLine="0" shrinkToFit="0" readingOrder="0"/>
    </dxf>
    <dxf>
      <font>
        <b val="0"/>
        <i val="0"/>
        <strike val="0"/>
        <condense val="0"/>
        <extend val="0"/>
        <outline val="0"/>
        <shadow val="0"/>
        <u val="none"/>
        <vertAlign val="baseline"/>
        <sz val="11"/>
        <color auto="1"/>
        <name val="Arial"/>
        <scheme val="none"/>
      </font>
      <numFmt numFmtId="165" formatCode="[$-14C09]d\ mmm\ yyyy;@"/>
      <alignment horizontal="center"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numFmt numFmtId="167" formatCode="[$₹-449]\ #,##0"/>
    </dxf>
    <dxf>
      <numFmt numFmtId="167" formatCode="[$₹-449]\ #,##0"/>
    </dxf>
    <dxf>
      <numFmt numFmtId="167" formatCode="[$₹-449]\ #,##0"/>
    </dxf>
    <dxf>
      <numFmt numFmtId="2" formatCode="0.00"/>
    </dxf>
    <dxf>
      <numFmt numFmtId="2" formatCode="0.00"/>
    </dxf>
    <dxf>
      <numFmt numFmtId="30" formatCode="@"/>
    </dxf>
    <dxf>
      <numFmt numFmtId="30" formatCode="@"/>
    </dxf>
    <dxf>
      <numFmt numFmtId="30" formatCode="@"/>
    </dxf>
    <dxf>
      <numFmt numFmtId="167" formatCode="[$₹-449]\ #,##0"/>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
    </dxf>
    <dxf>
      <font>
        <b/>
        <color theme="1"/>
      </font>
      <border>
        <bottom style="thin">
          <color theme="9"/>
        </bottom>
        <vertical/>
        <horizontal/>
      </border>
    </dxf>
    <dxf>
      <font>
        <color theme="1"/>
      </font>
      <fill>
        <patternFill patternType="solid">
          <bgColor theme="9" tint="-0.24994659260841701"/>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b/>
        <i val="0"/>
        <strike val="0"/>
        <sz val="8"/>
        <color theme="1"/>
        <name val="Calibri"/>
        <family val="2"/>
        <scheme val="none"/>
      </font>
      <fill>
        <patternFill patternType="solid">
          <bgColor rgb="FF92D050"/>
        </patternFill>
      </fill>
      <border diagonalUp="0" diagonalDown="0">
        <left/>
        <right/>
        <top/>
        <bottom/>
        <vertical/>
        <horizontal/>
      </border>
    </dxf>
  </dxfs>
  <tableStyles count="2" defaultTableStyle="TableStyleMedium9" defaultPivotStyle="PivotStyleLight16">
    <tableStyle name="SlicerStyleDark modified-2" pivot="0" table="0" count="10" xr9:uid="{A12A9D6C-32E9-4BD4-B841-111852B4D448}">
      <tableStyleElement type="wholeTable" dxfId="86"/>
      <tableStyleElement type="headerRow" dxfId="85"/>
    </tableStyle>
    <tableStyle name="SlicerStyleDark6 2" pivot="0" table="0" count="10" xr9:uid="{A08D9AFE-EFAD-432A-985D-60CDE64BB5F6}">
      <tableStyleElement type="wholeTable" dxfId="84"/>
      <tableStyleElement type="headerRow" dxfId="83"/>
    </tableStyle>
  </tableStyles>
  <colors>
    <mruColors>
      <color rgb="FFF5770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 modified-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[AP_Invoice_Raw_Messy_Dataset2.xlsx]Pivot_tbl!PivotTable1</c:name>
    <c:fmtId val="17"/>
  </c:pivotSource>
  <c:chart>
    <c:title>
      <c:tx>
        <c:rich>
          <a:bodyPr rot="0" spcFirstLastPara="1" vertOverflow="ellipsis" vert="horz" wrap="square" anchor="ctr" anchorCtr="1"/>
          <a:lstStyle/>
          <a:p>
            <a:pPr algn="ctr">
              <a:defRPr sz="1600" b="1" i="0" u="none" strike="noStrike" kern="1200" baseline="0">
                <a:solidFill>
                  <a:schemeClr val="bg1"/>
                </a:solidFill>
                <a:latin typeface="+mn-lt"/>
                <a:ea typeface="+mn-ea"/>
                <a:cs typeface="+mn-cs"/>
              </a:defRPr>
            </a:pPr>
            <a:r>
              <a:rPr lang="en-US">
                <a:solidFill>
                  <a:schemeClr val="bg1"/>
                </a:solidFill>
              </a:rPr>
              <a:t>Total Invoice Amount</a:t>
            </a:r>
          </a:p>
        </c:rich>
      </c:tx>
      <c:layout>
        <c:manualLayout>
          <c:xMode val="edge"/>
          <c:yMode val="edge"/>
          <c:x val="0.16541307844156161"/>
          <c:y val="6.2850720630526352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Pivot_tbl!$B$4</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Pivot_tbl!$A$5:$A$15</c:f>
              <c:strCache>
                <c:ptCount val="10"/>
                <c:pt idx="0">
                  <c:v>Brightpath Consulting</c:v>
                </c:pt>
                <c:pt idx="1">
                  <c:v>Crescent HR Staffing</c:v>
                </c:pt>
                <c:pt idx="2">
                  <c:v>Falcon Security Systems</c:v>
                </c:pt>
                <c:pt idx="3">
                  <c:v>Horizon Facilities Mgmt.</c:v>
                </c:pt>
                <c:pt idx="4">
                  <c:v>Ironclad Insurance Group</c:v>
                </c:pt>
                <c:pt idx="5">
                  <c:v>Nimbus Cloud Services</c:v>
                </c:pt>
                <c:pt idx="6">
                  <c:v>Pioneer Chemicals Pvt Ltd</c:v>
                </c:pt>
                <c:pt idx="7">
                  <c:v>Redwood Raw Materials</c:v>
                </c:pt>
                <c:pt idx="8">
                  <c:v>Silverline Manufacturing</c:v>
                </c:pt>
                <c:pt idx="9">
                  <c:v>Sunrise Catering Services</c:v>
                </c:pt>
              </c:strCache>
            </c:strRef>
          </c:cat>
          <c:val>
            <c:numRef>
              <c:f>Pivot_tbl!$B$5:$B$15</c:f>
              <c:numCache>
                <c:formatCode>"$"#,##0</c:formatCode>
                <c:ptCount val="10"/>
                <c:pt idx="0">
                  <c:v>1092762.5500000003</c:v>
                </c:pt>
                <c:pt idx="1">
                  <c:v>1036881.9200000002</c:v>
                </c:pt>
                <c:pt idx="2">
                  <c:v>1197568.0599999996</c:v>
                </c:pt>
                <c:pt idx="3">
                  <c:v>1158390.1499999999</c:v>
                </c:pt>
                <c:pt idx="4">
                  <c:v>1117253.04</c:v>
                </c:pt>
                <c:pt idx="5">
                  <c:v>1200911.79</c:v>
                </c:pt>
                <c:pt idx="6">
                  <c:v>1193685.6200000003</c:v>
                </c:pt>
                <c:pt idx="7">
                  <c:v>1030661.07</c:v>
                </c:pt>
                <c:pt idx="8">
                  <c:v>1022910.6200000001</c:v>
                </c:pt>
                <c:pt idx="9">
                  <c:v>1364749.91</c:v>
                </c:pt>
              </c:numCache>
            </c:numRef>
          </c:val>
          <c:extLst>
            <c:ext xmlns:c16="http://schemas.microsoft.com/office/drawing/2014/chart" uri="{C3380CC4-5D6E-409C-BE32-E72D297353CC}">
              <c16:uniqueId val="{00000000-731C-4921-83E2-0851944E1683}"/>
            </c:ext>
          </c:extLst>
        </c:ser>
        <c:dLbls>
          <c:showLegendKey val="0"/>
          <c:showVal val="0"/>
          <c:showCatName val="0"/>
          <c:showSerName val="0"/>
          <c:showPercent val="0"/>
          <c:showBubbleSize val="0"/>
        </c:dLbls>
        <c:gapWidth val="115"/>
        <c:overlap val="-20"/>
        <c:axId val="611206224"/>
        <c:axId val="590742096"/>
      </c:barChart>
      <c:catAx>
        <c:axId val="6112062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590742096"/>
        <c:crosses val="autoZero"/>
        <c:auto val="1"/>
        <c:lblAlgn val="ctr"/>
        <c:lblOffset val="100"/>
        <c:noMultiLvlLbl val="0"/>
      </c:catAx>
      <c:valAx>
        <c:axId val="5907420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11206224"/>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[AP_Invoice_Raw_Messy_Dataset2.xlsx]Pivot_tbl!PivotTable7</c:name>
    <c:fmtId val="9"/>
  </c:pivotSource>
  <c:chart>
    <c:title>
      <c:tx>
        <c:rich>
          <a:bodyPr rot="0" spcFirstLastPara="1" vertOverflow="ellipsis" vert="horz" wrap="square" anchor="ctr" anchorCtr="1"/>
          <a:lstStyle/>
          <a:p>
            <a:pPr algn="ctr">
              <a:defRPr sz="1600" b="1" i="0" u="none" strike="noStrike" kern="1200" baseline="0">
                <a:solidFill>
                  <a:schemeClr val="bg1"/>
                </a:solidFill>
                <a:latin typeface="+mn-lt"/>
                <a:ea typeface="+mn-ea"/>
                <a:cs typeface="+mn-cs"/>
              </a:defRPr>
            </a:pPr>
            <a:r>
              <a:rPr lang="en-US" sz="1600"/>
              <a:t>Payment Status Breakdown</a:t>
            </a:r>
          </a:p>
        </c:rich>
      </c:tx>
      <c:layout>
        <c:manualLayout>
          <c:xMode val="edge"/>
          <c:yMode val="edge"/>
          <c:x val="0.19201996674875038"/>
          <c:y val="0"/>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dLbl>
          <c:idx val="0"/>
          <c:layout>
            <c:manualLayout>
              <c:x val="-7.0978862017247957E-2"/>
              <c:y val="4.85159715597082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0627999625046862"/>
                  <c:h val="0.18730424887852976"/>
                </c:manualLayout>
              </c15:layout>
            </c:ext>
          </c:extLst>
        </c:dLbl>
      </c:pivotFmt>
      <c:pivotFmt>
        <c:idx val="1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dLbl>
          <c:idx val="0"/>
          <c:layout>
            <c:manualLayout>
              <c:x val="-5.032245969253854E-2"/>
              <c:y val="4.20476847057792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213770153730784"/>
                  <c:h val="0.20024184129445197"/>
                </c:manualLayout>
              </c15:layout>
            </c:ext>
          </c:extLst>
        </c:dLbl>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dLbl>
          <c:idx val="0"/>
          <c:layout>
            <c:manualLayout>
              <c:x val="5.3571428571428568E-2"/>
              <c:y val="-1.29375924159223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0369047619047618"/>
                  <c:h val="0.23258582233425748"/>
                </c:manualLayout>
              </c15:layout>
            </c:ext>
          </c:extLst>
        </c:dLbl>
      </c:pivotFmt>
      <c:pivotFmt>
        <c:idx val="1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0175618672665916"/>
                  <c:h val="0.23258582233425748"/>
                </c:manualLayout>
              </c15:layout>
            </c:ext>
          </c:extLst>
        </c:dLbl>
      </c:pivotFmt>
      <c:pivotFmt>
        <c:idx val="1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dLbl>
          <c:idx val="0"/>
          <c:layout>
            <c:manualLayout>
              <c:x val="2.976190476190476E-2"/>
              <c:y val="1.29375924159222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Pivot_tbl!$H$19</c:f>
              <c:strCache>
                <c:ptCount val="1"/>
                <c:pt idx="0">
                  <c:v>Total</c:v>
                </c:pt>
              </c:strCache>
            </c:strRef>
          </c:tx>
          <c:spPr>
            <a:ln>
              <a:noFill/>
            </a:ln>
            <a:effectLst>
              <a:glow>
                <a:schemeClr val="accent1">
                  <a:alpha val="0"/>
                </a:schemeClr>
              </a:glow>
              <a:outerShdw blurRad="50800" dist="38100" dir="5400000" rotWithShape="0">
                <a:srgbClr val="000000">
                  <a:alpha val="35000"/>
                </a:srgbClr>
              </a:outerShdw>
              <a:softEdge rad="12700"/>
            </a:effectLst>
          </c:spPr>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extLst>
              <c:ext xmlns:c16="http://schemas.microsoft.com/office/drawing/2014/chart" uri="{C3380CC4-5D6E-409C-BE32-E72D297353CC}">
                <c16:uniqueId val="{00000001-9315-4401-92C9-06900BCF3A9C}"/>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extLst>
              <c:ext xmlns:c16="http://schemas.microsoft.com/office/drawing/2014/chart" uri="{C3380CC4-5D6E-409C-BE32-E72D297353CC}">
                <c16:uniqueId val="{00000003-9315-4401-92C9-06900BCF3A9C}"/>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extLst>
              <c:ext xmlns:c16="http://schemas.microsoft.com/office/drawing/2014/chart" uri="{C3380CC4-5D6E-409C-BE32-E72D297353CC}">
                <c16:uniqueId val="{00000005-9315-4401-92C9-06900BCF3A9C}"/>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extLst>
              <c:ext xmlns:c16="http://schemas.microsoft.com/office/drawing/2014/chart" uri="{C3380CC4-5D6E-409C-BE32-E72D297353CC}">
                <c16:uniqueId val="{00000007-9315-4401-92C9-06900BCF3A9C}"/>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extLst>
              <c:ext xmlns:c16="http://schemas.microsoft.com/office/drawing/2014/chart" uri="{C3380CC4-5D6E-409C-BE32-E72D297353CC}">
                <c16:uniqueId val="{00000009-9315-4401-92C9-06900BCF3A9C}"/>
              </c:ext>
            </c:extLst>
          </c:dPt>
          <c:dPt>
            <c:idx val="5"/>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extLst>
              <c:ext xmlns:c16="http://schemas.microsoft.com/office/drawing/2014/chart" uri="{C3380CC4-5D6E-409C-BE32-E72D297353CC}">
                <c16:uniqueId val="{0000000B-9315-4401-92C9-06900BCF3A9C}"/>
              </c:ext>
            </c:extLst>
          </c:dPt>
          <c:dPt>
            <c:idx val="6"/>
            <c:bubble3D val="0"/>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glow>
                  <a:schemeClr val="accent1">
                    <a:alpha val="0"/>
                  </a:schemeClr>
                </a:glow>
                <a:outerShdw blurRad="50800" dist="38100" dir="5400000" rotWithShape="0">
                  <a:srgbClr val="000000">
                    <a:alpha val="35000"/>
                  </a:srgbClr>
                </a:outerShdw>
                <a:softEdge rad="12700"/>
              </a:effectLst>
            </c:spPr>
            <c:extLst>
              <c:ext xmlns:c16="http://schemas.microsoft.com/office/drawing/2014/chart" uri="{C3380CC4-5D6E-409C-BE32-E72D297353CC}">
                <c16:uniqueId val="{0000000D-9315-4401-92C9-06900BCF3A9C}"/>
              </c:ext>
            </c:extLst>
          </c:dPt>
          <c:dLbls>
            <c:dLbl>
              <c:idx val="0"/>
              <c:layout>
                <c:manualLayout>
                  <c:x val="-7.0978862017247957E-2"/>
                  <c:y val="4.851597155970826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40627999625046862"/>
                      <c:h val="0.18730424887852976"/>
                    </c:manualLayout>
                  </c15:layout>
                </c:ext>
                <c:ext xmlns:c16="http://schemas.microsoft.com/office/drawing/2014/chart" uri="{C3380CC4-5D6E-409C-BE32-E72D297353CC}">
                  <c16:uniqueId val="{00000001-9315-4401-92C9-06900BCF3A9C}"/>
                </c:ext>
              </c:extLst>
            </c:dLbl>
            <c:dLbl>
              <c:idx val="1"/>
              <c:layout>
                <c:manualLayout>
                  <c:x val="-5.032245969253854E-2"/>
                  <c:y val="4.204768470577922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9213770153730784"/>
                      <c:h val="0.20024184129445197"/>
                    </c:manualLayout>
                  </c15:layout>
                </c:ext>
                <c:ext xmlns:c16="http://schemas.microsoft.com/office/drawing/2014/chart" uri="{C3380CC4-5D6E-409C-BE32-E72D297353CC}">
                  <c16:uniqueId val="{00000003-9315-4401-92C9-06900BCF3A9C}"/>
                </c:ext>
              </c:extLst>
            </c:dLbl>
            <c:dLbl>
              <c:idx val="2"/>
              <c:layout>
                <c:manualLayout>
                  <c:x val="5.3571428571428568E-2"/>
                  <c:y val="-1.29375924159223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315-4401-92C9-06900BCF3A9C}"/>
                </c:ext>
              </c:extLst>
            </c:dLbl>
            <c:dLbl>
              <c:idx val="4"/>
              <c:dLblPos val="outEnd"/>
              <c:showLegendKey val="0"/>
              <c:showVal val="0"/>
              <c:showCatName val="1"/>
              <c:showSerName val="0"/>
              <c:showPercent val="1"/>
              <c:showBubbleSize val="0"/>
              <c:extLst>
                <c:ext xmlns:c15="http://schemas.microsoft.com/office/drawing/2012/chart" uri="{CE6537A1-D6FC-4f65-9D91-7224C49458BB}">
                  <c15:layout>
                    <c:manualLayout>
                      <c:w val="0.30369047619047618"/>
                      <c:h val="0.23258582233425748"/>
                    </c:manualLayout>
                  </c15:layout>
                </c:ext>
                <c:ext xmlns:c16="http://schemas.microsoft.com/office/drawing/2014/chart" uri="{C3380CC4-5D6E-409C-BE32-E72D297353CC}">
                  <c16:uniqueId val="{00000009-9315-4401-92C9-06900BCF3A9C}"/>
                </c:ext>
              </c:extLst>
            </c:dLbl>
            <c:dLbl>
              <c:idx val="5"/>
              <c:dLblPos val="outEnd"/>
              <c:showLegendKey val="0"/>
              <c:showVal val="0"/>
              <c:showCatName val="1"/>
              <c:showSerName val="0"/>
              <c:showPercent val="1"/>
              <c:showBubbleSize val="0"/>
              <c:extLst>
                <c:ext xmlns:c15="http://schemas.microsoft.com/office/drawing/2012/chart" uri="{CE6537A1-D6FC-4f65-9D91-7224C49458BB}">
                  <c15:layout>
                    <c:manualLayout>
                      <c:w val="0.30175618672665916"/>
                      <c:h val="0.23258582233425748"/>
                    </c:manualLayout>
                  </c15:layout>
                </c:ext>
                <c:ext xmlns:c16="http://schemas.microsoft.com/office/drawing/2014/chart" uri="{C3380CC4-5D6E-409C-BE32-E72D297353CC}">
                  <c16:uniqueId val="{0000000B-9315-4401-92C9-06900BCF3A9C}"/>
                </c:ext>
              </c:extLst>
            </c:dLbl>
            <c:dLbl>
              <c:idx val="6"/>
              <c:layout>
                <c:manualLayout>
                  <c:x val="2.976190476190476E-2"/>
                  <c:y val="1.29375924159222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315-4401-92C9-06900BCF3A9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Pivot_tbl!$G$20:$G$27</c:f>
              <c:strCache>
                <c:ptCount val="7"/>
                <c:pt idx="0">
                  <c:v>Cancelled</c:v>
                </c:pt>
                <c:pt idx="1">
                  <c:v>Overdue</c:v>
                </c:pt>
                <c:pt idx="2">
                  <c:v>Paid</c:v>
                </c:pt>
                <c:pt idx="3">
                  <c:v>Partial</c:v>
                </c:pt>
                <c:pt idx="4">
                  <c:v>Pending</c:v>
                </c:pt>
                <c:pt idx="5">
                  <c:v>Unknown</c:v>
                </c:pt>
                <c:pt idx="6">
                  <c:v>Unpaid</c:v>
                </c:pt>
              </c:strCache>
            </c:strRef>
          </c:cat>
          <c:val>
            <c:numRef>
              <c:f>Pivot_tbl!$H$20:$H$27</c:f>
              <c:numCache>
                <c:formatCode>General</c:formatCode>
                <c:ptCount val="7"/>
                <c:pt idx="0">
                  <c:v>39</c:v>
                </c:pt>
                <c:pt idx="1">
                  <c:v>86</c:v>
                </c:pt>
                <c:pt idx="2">
                  <c:v>104</c:v>
                </c:pt>
                <c:pt idx="3">
                  <c:v>63</c:v>
                </c:pt>
                <c:pt idx="4">
                  <c:v>38</c:v>
                </c:pt>
                <c:pt idx="5">
                  <c:v>40</c:v>
                </c:pt>
                <c:pt idx="6">
                  <c:v>73</c:v>
                </c:pt>
              </c:numCache>
            </c:numRef>
          </c:val>
          <c:extLst>
            <c:ext xmlns:c16="http://schemas.microsoft.com/office/drawing/2014/chart" uri="{C3380CC4-5D6E-409C-BE32-E72D297353CC}">
              <c16:uniqueId val="{0000000E-9315-4401-92C9-06900BCF3A9C}"/>
            </c:ext>
          </c:extLst>
        </c:ser>
        <c:dLbls>
          <c:dLblPos val="ctr"/>
          <c:showLegendKey val="0"/>
          <c:showVal val="0"/>
          <c:showCatName val="0"/>
          <c:showSerName val="0"/>
          <c:showPercent val="1"/>
          <c:showBubbleSize val="0"/>
          <c:showLeaderLines val="1"/>
        </c:dLbls>
        <c:firstSliceAng val="3"/>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[AP_Invoice_Raw_Messy_Dataset2.xlsx]Pivot_tbl!PivotTable4</c:name>
    <c:fmtId val="3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bg1"/>
                </a:solidFill>
              </a:rPr>
              <a:t>Department</a:t>
            </a:r>
            <a:r>
              <a:rPr lang="en-US" baseline="0">
                <a:solidFill>
                  <a:schemeClr val="bg1"/>
                </a:solidFill>
              </a:rPr>
              <a:t> Spend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Pivot_tbl!$E$4</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c:spPr>
          <c:invertIfNegative val="0"/>
          <c:cat>
            <c:strRef>
              <c:f>Pivot_tbl!$D$5:$D$15</c:f>
              <c:strCache>
                <c:ptCount val="10"/>
                <c:pt idx="0">
                  <c:v>Admin</c:v>
                </c:pt>
                <c:pt idx="1">
                  <c:v>Finance</c:v>
                </c:pt>
                <c:pt idx="2">
                  <c:v>HR</c:v>
                </c:pt>
                <c:pt idx="3">
                  <c:v>IT</c:v>
                </c:pt>
                <c:pt idx="4">
                  <c:v>Legal</c:v>
                </c:pt>
                <c:pt idx="5">
                  <c:v>Logistics</c:v>
                </c:pt>
                <c:pt idx="6">
                  <c:v>Marketing</c:v>
                </c:pt>
                <c:pt idx="7">
                  <c:v>Operations</c:v>
                </c:pt>
                <c:pt idx="8">
                  <c:v>Procurement</c:v>
                </c:pt>
                <c:pt idx="9">
                  <c:v>Sales</c:v>
                </c:pt>
              </c:strCache>
            </c:strRef>
          </c:cat>
          <c:val>
            <c:numRef>
              <c:f>Pivot_tbl!$E$5:$E$15</c:f>
              <c:numCache>
                <c:formatCode>"$"#,##0</c:formatCode>
                <c:ptCount val="10"/>
                <c:pt idx="0">
                  <c:v>1559990.9400000002</c:v>
                </c:pt>
                <c:pt idx="1">
                  <c:v>1341852.57</c:v>
                </c:pt>
                <c:pt idx="2">
                  <c:v>1518221.3199999998</c:v>
                </c:pt>
                <c:pt idx="3">
                  <c:v>1870535.3099999998</c:v>
                </c:pt>
                <c:pt idx="4">
                  <c:v>2187861.0199999996</c:v>
                </c:pt>
                <c:pt idx="5">
                  <c:v>1889627.25</c:v>
                </c:pt>
                <c:pt idx="6">
                  <c:v>1813826.8599999999</c:v>
                </c:pt>
                <c:pt idx="7">
                  <c:v>1689803.9300000006</c:v>
                </c:pt>
                <c:pt idx="8">
                  <c:v>1781499.93</c:v>
                </c:pt>
                <c:pt idx="9">
                  <c:v>2803061.9299999997</c:v>
                </c:pt>
              </c:numCache>
            </c:numRef>
          </c:val>
          <c:extLst>
            <c:ext xmlns:c16="http://schemas.microsoft.com/office/drawing/2014/chart" uri="{C3380CC4-5D6E-409C-BE32-E72D297353CC}">
              <c16:uniqueId val="{00000000-07B3-47E5-A700-F59EF9EC8BE7}"/>
            </c:ext>
          </c:extLst>
        </c:ser>
        <c:dLbls>
          <c:showLegendKey val="0"/>
          <c:showVal val="0"/>
          <c:showCatName val="0"/>
          <c:showSerName val="0"/>
          <c:showPercent val="0"/>
          <c:showBubbleSize val="0"/>
        </c:dLbls>
        <c:gapWidth val="115"/>
        <c:overlap val="-20"/>
        <c:axId val="794202576"/>
        <c:axId val="590733936"/>
      </c:barChart>
      <c:catAx>
        <c:axId val="7942025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590733936"/>
        <c:crosses val="autoZero"/>
        <c:auto val="1"/>
        <c:lblAlgn val="ctr"/>
        <c:lblOffset val="100"/>
        <c:noMultiLvlLbl val="0"/>
      </c:catAx>
      <c:valAx>
        <c:axId val="590733936"/>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79420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[AP_Invoice_Raw_Messy_Dataset2.xlsx]Pivot_tbl!PivotTable5</c:name>
    <c:fmtId val="6"/>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Monthly Trends</a:t>
            </a:r>
          </a:p>
        </c:rich>
      </c:tx>
      <c:layout>
        <c:manualLayout>
          <c:xMode val="edge"/>
          <c:yMode val="edge"/>
          <c:x val="0.28711744819098345"/>
          <c:y val="1.579926228641450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7625" cap="rnd">
            <a:solidFill>
              <a:schemeClr val="accent5">
                <a:lumMod val="75000"/>
              </a:schemeClr>
            </a:solidFill>
            <a:round/>
          </a:ln>
          <a:effectLst>
            <a:outerShdw blurRad="63500" dist="50800" dir="5400000" sx="102000" sy="102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Pivot_tbl!$B$19</c:f>
              <c:strCache>
                <c:ptCount val="1"/>
                <c:pt idx="0">
                  <c:v>Total</c:v>
                </c:pt>
              </c:strCache>
            </c:strRef>
          </c:tx>
          <c:spPr>
            <a:ln w="47625" cap="rnd">
              <a:solidFill>
                <a:schemeClr val="accent5">
                  <a:lumMod val="75000"/>
                </a:schemeClr>
              </a:solidFill>
              <a:round/>
            </a:ln>
            <a:effectLst>
              <a:outerShdw blurRad="63500" dist="50800" dir="5400000" sx="102000" sy="102000" algn="ctr" rotWithShape="0">
                <a:srgbClr val="000000"/>
              </a:outerShdw>
            </a:effectLst>
          </c:spPr>
          <c:marker>
            <c:symbol val="none"/>
          </c:marker>
          <c:cat>
            <c:strRef>
              <c:f>Pivot_tbl!$A$20:$A$32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Pivot_tbl!$B$20:$B$32</c:f>
              <c:numCache>
                <c:formatCode>"$"#,##0</c:formatCode>
                <c:ptCount val="12"/>
                <c:pt idx="0">
                  <c:v>489768.52</c:v>
                </c:pt>
                <c:pt idx="1">
                  <c:v>772773.2300000001</c:v>
                </c:pt>
                <c:pt idx="2">
                  <c:v>358116.67999999993</c:v>
                </c:pt>
                <c:pt idx="3">
                  <c:v>1122641.33</c:v>
                </c:pt>
                <c:pt idx="4">
                  <c:v>1540034.55</c:v>
                </c:pt>
                <c:pt idx="5">
                  <c:v>1420223.2899999998</c:v>
                </c:pt>
                <c:pt idx="6">
                  <c:v>858294.78999999992</c:v>
                </c:pt>
                <c:pt idx="7">
                  <c:v>1942075.5900000003</c:v>
                </c:pt>
                <c:pt idx="8">
                  <c:v>1296229.3999999999</c:v>
                </c:pt>
                <c:pt idx="9">
                  <c:v>768418.39999999991</c:v>
                </c:pt>
                <c:pt idx="10">
                  <c:v>405257.67</c:v>
                </c:pt>
                <c:pt idx="11">
                  <c:v>621718.21</c:v>
                </c:pt>
              </c:numCache>
            </c:numRef>
          </c:val>
          <c:smooth val="0"/>
          <c:extLst>
            <c:ext xmlns:c16="http://schemas.microsoft.com/office/drawing/2014/chart" uri="{C3380CC4-5D6E-409C-BE32-E72D297353CC}">
              <c16:uniqueId val="{00000000-EAA7-4C3C-98DF-C8954BE0448B}"/>
            </c:ext>
          </c:extLst>
        </c:ser>
        <c:dLbls>
          <c:showLegendKey val="0"/>
          <c:showVal val="0"/>
          <c:showCatName val="0"/>
          <c:showSerName val="0"/>
          <c:showPercent val="0"/>
          <c:showBubbleSize val="0"/>
        </c:dLbls>
        <c:smooth val="0"/>
        <c:axId val="1047357824"/>
        <c:axId val="1047661712"/>
      </c:lineChart>
      <c:catAx>
        <c:axId val="104735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047661712"/>
        <c:crosses val="autoZero"/>
        <c:auto val="1"/>
        <c:lblAlgn val="ctr"/>
        <c:lblOffset val="100"/>
        <c:noMultiLvlLbl val="0"/>
      </c:catAx>
      <c:valAx>
        <c:axId val="1047661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04735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[AP_Invoice_Raw_Messy_Dataset2.xlsx]Pivot_tbl!PivotTable8</c:name>
    <c:fmtId val="2"/>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solidFill>
                  <a:schemeClr val="bg1"/>
                </a:solidFill>
              </a:rPr>
              <a:t>Department Counts by Categories</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rgbClr val="002060"/>
            </a:solidFill>
          </a:ln>
          <a:effectLst/>
          <a:sp3d>
            <a:contourClr>
              <a:srgbClr val="00206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Pivot_tbl!$H$4</c:f>
              <c:strCache>
                <c:ptCount val="1"/>
                <c:pt idx="0">
                  <c:v>Total</c:v>
                </c:pt>
              </c:strCache>
            </c:strRef>
          </c:tx>
          <c:spPr>
            <a:solidFill>
              <a:srgbClr val="0070C0"/>
            </a:solidFill>
            <a:ln>
              <a:solidFill>
                <a:srgbClr val="002060"/>
              </a:solidFill>
            </a:ln>
            <a:effectLst/>
            <a:sp3d>
              <a:contourClr>
                <a:srgbClr val="00206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Pivot_tbl!$G$5:$G$15</c:f>
              <c:strCache>
                <c:ptCount val="10"/>
                <c:pt idx="0">
                  <c:v>Consulting</c:v>
                </c:pt>
                <c:pt idx="1">
                  <c:v>Freight &amp; Logistics</c:v>
                </c:pt>
                <c:pt idx="2">
                  <c:v>IT Services</c:v>
                </c:pt>
                <c:pt idx="3">
                  <c:v>Maintenance</c:v>
                </c:pt>
                <c:pt idx="4">
                  <c:v>Marketing</c:v>
                </c:pt>
                <c:pt idx="5">
                  <c:v>Office Supplies</c:v>
                </c:pt>
                <c:pt idx="6">
                  <c:v>Professional Services</c:v>
                </c:pt>
                <c:pt idx="7">
                  <c:v>Raw Materials</c:v>
                </c:pt>
                <c:pt idx="8">
                  <c:v>Travel &amp; Expenses</c:v>
                </c:pt>
                <c:pt idx="9">
                  <c:v>Utilities</c:v>
                </c:pt>
              </c:strCache>
            </c:strRef>
          </c:cat>
          <c:val>
            <c:numRef>
              <c:f>Pivot_tbl!$H$5:$H$15</c:f>
              <c:numCache>
                <c:formatCode>General</c:formatCode>
                <c:ptCount val="10"/>
                <c:pt idx="0">
                  <c:v>48</c:v>
                </c:pt>
                <c:pt idx="1">
                  <c:v>36</c:v>
                </c:pt>
                <c:pt idx="2">
                  <c:v>51</c:v>
                </c:pt>
                <c:pt idx="3">
                  <c:v>47</c:v>
                </c:pt>
                <c:pt idx="4">
                  <c:v>49</c:v>
                </c:pt>
                <c:pt idx="5">
                  <c:v>50</c:v>
                </c:pt>
                <c:pt idx="6">
                  <c:v>40</c:v>
                </c:pt>
                <c:pt idx="7">
                  <c:v>41</c:v>
                </c:pt>
                <c:pt idx="8">
                  <c:v>44</c:v>
                </c:pt>
                <c:pt idx="9">
                  <c:v>37</c:v>
                </c:pt>
              </c:numCache>
            </c:numRef>
          </c:val>
          <c:extLst>
            <c:ext xmlns:c16="http://schemas.microsoft.com/office/drawing/2014/chart" uri="{C3380CC4-5D6E-409C-BE32-E72D297353CC}">
              <c16:uniqueId val="{00000000-3A39-495D-AA60-377499EE2F22}"/>
            </c:ext>
          </c:extLst>
        </c:ser>
        <c:dLbls>
          <c:showLegendKey val="0"/>
          <c:showVal val="1"/>
          <c:showCatName val="0"/>
          <c:showSerName val="0"/>
          <c:showPercent val="0"/>
          <c:showBubbleSize val="0"/>
        </c:dLbls>
        <c:gapWidth val="79"/>
        <c:shape val="cylinder"/>
        <c:axId val="1256849967"/>
        <c:axId val="1253372527"/>
        <c:axId val="0"/>
      </c:bar3DChart>
      <c:catAx>
        <c:axId val="125684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bg1">
                    <a:lumMod val="95000"/>
                  </a:schemeClr>
                </a:solidFill>
                <a:latin typeface="+mn-lt"/>
                <a:ea typeface="+mn-ea"/>
                <a:cs typeface="+mn-cs"/>
              </a:defRPr>
            </a:pPr>
            <a:endParaRPr lang="en-US"/>
          </a:p>
        </c:txPr>
        <c:crossAx val="1253372527"/>
        <c:crosses val="autoZero"/>
        <c:auto val="1"/>
        <c:lblAlgn val="ctr"/>
        <c:lblOffset val="100"/>
        <c:noMultiLvlLbl val="0"/>
      </c:catAx>
      <c:valAx>
        <c:axId val="1253372527"/>
        <c:scaling>
          <c:orientation val="minMax"/>
        </c:scaling>
        <c:delete val="1"/>
        <c:axPos val="b"/>
        <c:numFmt formatCode="General" sourceLinked="1"/>
        <c:majorTickMark val="none"/>
        <c:minorTickMark val="none"/>
        <c:tickLblPos val="nextTo"/>
        <c:crossAx val="125684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[AP_Invoice_Raw_Messy_Dataset2.xlsx]Pivot_tbl!PivotTable9</c:name>
    <c:fmtId val="7"/>
  </c:pivotSource>
  <c:chart>
    <c:title>
      <c:tx>
        <c:rich>
          <a:bodyPr rot="0" spcFirstLastPara="1" vertOverflow="ellipsis" vert="horz" wrap="square" anchor="ctr" anchorCtr="1"/>
          <a:lstStyle/>
          <a:p>
            <a:pPr algn="ctr" rtl="0">
              <a:defRPr lang="en-US" sz="1600" b="1" i="0" u="none" strike="noStrike" kern="1200" baseline="0">
                <a:solidFill>
                  <a:schemeClr val="bg1"/>
                </a:solidFill>
                <a:latin typeface="+mn-lt"/>
                <a:ea typeface="+mn-ea"/>
                <a:cs typeface="+mn-cs"/>
              </a:defRPr>
            </a:pPr>
            <a:r>
              <a:rPr lang="en-US" sz="1600" b="1" i="0" u="none" strike="noStrike" kern="1200" baseline="0">
                <a:solidFill>
                  <a:schemeClr val="bg1"/>
                </a:solidFill>
                <a:latin typeface="+mn-lt"/>
                <a:ea typeface="+mn-ea"/>
                <a:cs typeface="+mn-cs"/>
              </a:rPr>
              <a:t>Approval pipeline</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Pivot_tbl!$E$19</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Pivot_tbl!$D$20:$D$26</c:f>
              <c:strCache>
                <c:ptCount val="6"/>
                <c:pt idx="0">
                  <c:v>Approved</c:v>
                </c:pt>
                <c:pt idx="1">
                  <c:v>In Review</c:v>
                </c:pt>
                <c:pt idx="2">
                  <c:v>On Hold</c:v>
                </c:pt>
                <c:pt idx="3">
                  <c:v>Pending</c:v>
                </c:pt>
                <c:pt idx="4">
                  <c:v>Rejected</c:v>
                </c:pt>
                <c:pt idx="5">
                  <c:v>Unknown</c:v>
                </c:pt>
              </c:strCache>
            </c:strRef>
          </c:cat>
          <c:val>
            <c:numRef>
              <c:f>Pivot_tbl!$E$20:$E$26</c:f>
              <c:numCache>
                <c:formatCode>General</c:formatCode>
                <c:ptCount val="6"/>
                <c:pt idx="0">
                  <c:v>130</c:v>
                </c:pt>
                <c:pt idx="1">
                  <c:v>89</c:v>
                </c:pt>
                <c:pt idx="2">
                  <c:v>41</c:v>
                </c:pt>
                <c:pt idx="3">
                  <c:v>66</c:v>
                </c:pt>
                <c:pt idx="4">
                  <c:v>80</c:v>
                </c:pt>
                <c:pt idx="5">
                  <c:v>37</c:v>
                </c:pt>
              </c:numCache>
            </c:numRef>
          </c:val>
          <c:extLst>
            <c:ext xmlns:c16="http://schemas.microsoft.com/office/drawing/2014/chart" uri="{C3380CC4-5D6E-409C-BE32-E72D297353CC}">
              <c16:uniqueId val="{00000000-A1D6-4764-9B5A-CB940C06733D}"/>
            </c:ext>
          </c:extLst>
        </c:ser>
        <c:dLbls>
          <c:showLegendKey val="0"/>
          <c:showVal val="0"/>
          <c:showCatName val="0"/>
          <c:showSerName val="0"/>
          <c:showPercent val="0"/>
          <c:showBubbleSize val="0"/>
        </c:dLbls>
        <c:gapWidth val="115"/>
        <c:overlap val="-20"/>
        <c:axId val="922711215"/>
        <c:axId val="1253568367"/>
      </c:barChart>
      <c:catAx>
        <c:axId val="9227112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53568367"/>
        <c:crosses val="autoZero"/>
        <c:auto val="1"/>
        <c:lblAlgn val="ctr"/>
        <c:lblOffset val="100"/>
        <c:noMultiLvlLbl val="0"/>
      </c:catAx>
      <c:valAx>
        <c:axId val="1253568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2271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Country Wise Invoice Amount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lotArea>
      <c:layout>
        <c:manualLayout>
          <c:layoutTarget val="inner"/>
          <c:xMode val="edge"/>
          <c:yMode val="edge"/>
          <c:x val="0.14813781873087917"/>
          <c:y val="0.20480816864421861"/>
          <c:w val="0.77559219460622131"/>
          <c:h val="0.52380276745047305"/>
        </c:manualLayout>
      </c:layout>
      <c:areaChart>
        <c:grouping val="standard"/>
        <c:varyColors val="0"/>
        <c:ser>
          <c:idx val="0"/>
          <c:order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cat>
            <c:strRef>
              <c:f>Pivot_tbl!$M$19:$M$24</c:f>
              <c:strCache>
                <c:ptCount val="6"/>
                <c:pt idx="0">
                  <c:v>Germany</c:v>
                </c:pt>
                <c:pt idx="1">
                  <c:v>India</c:v>
                </c:pt>
                <c:pt idx="2">
                  <c:v>Singapore</c:v>
                </c:pt>
                <c:pt idx="3">
                  <c:v>UAE</c:v>
                </c:pt>
                <c:pt idx="4">
                  <c:v>UK</c:v>
                </c:pt>
                <c:pt idx="5">
                  <c:v>USA</c:v>
                </c:pt>
              </c:strCache>
            </c:strRef>
          </c:cat>
          <c:val>
            <c:numRef>
              <c:f>Pivot_tbl!$N$19:$N$24</c:f>
              <c:numCache>
                <c:formatCode>General</c:formatCode>
                <c:ptCount val="6"/>
                <c:pt idx="0">
                  <c:v>2182870.4200000004</c:v>
                </c:pt>
                <c:pt idx="1">
                  <c:v>1663479.6199999999</c:v>
                </c:pt>
                <c:pt idx="2">
                  <c:v>1924801.5699999998</c:v>
                </c:pt>
                <c:pt idx="3">
                  <c:v>1792391.1399999997</c:v>
                </c:pt>
                <c:pt idx="4">
                  <c:v>4386875.93</c:v>
                </c:pt>
                <c:pt idx="5">
                  <c:v>4881926.5699999984</c:v>
                </c:pt>
              </c:numCache>
            </c:numRef>
          </c:val>
          <c:extLst>
            <c:ext xmlns:c16="http://schemas.microsoft.com/office/drawing/2014/chart" uri="{C3380CC4-5D6E-409C-BE32-E72D297353CC}">
              <c16:uniqueId val="{00000000-10E5-4065-9F9F-44FF620F5F87}"/>
            </c:ext>
          </c:extLst>
        </c:ser>
        <c:dLbls>
          <c:showLegendKey val="0"/>
          <c:showVal val="0"/>
          <c:showCatName val="0"/>
          <c:showSerName val="0"/>
          <c:showPercent val="0"/>
          <c:showBubbleSize val="0"/>
        </c:dLbls>
        <c:axId val="1571731648"/>
        <c:axId val="865266896"/>
      </c:areaChart>
      <c:catAx>
        <c:axId val="157173164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865266896"/>
        <c:crosses val="autoZero"/>
        <c:auto val="1"/>
        <c:lblAlgn val="ctr"/>
        <c:lblOffset val="100"/>
        <c:noMultiLvlLbl val="0"/>
      </c:catAx>
      <c:valAx>
        <c:axId val="86526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571731648"/>
        <c:crosses val="autoZero"/>
        <c:crossBetween val="midCat"/>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81642</xdr:colOff>
      <xdr:row>0</xdr:row>
      <xdr:rowOff>88446</xdr:rowOff>
    </xdr:from>
    <xdr:to>
      <xdr:col>20</xdr:col>
      <xdr:colOff>598714</xdr:colOff>
      <xdr:row>4</xdr:row>
      <xdr:rowOff>47625</xdr:rowOff>
    </xdr:to>
    <xdr:sp macro="" textlink="">
      <xdr:nvSpPr>
        <xdr:cNvPr id="2" name="Rectangle: Rounded Corners 1">
          <a:extLst>
            <a:ext uri="{FF2B5EF4-FFF2-40B4-BE49-F238E27FC236}">
              <a16:creationId xmlns:a16="http://schemas.microsoft.com/office/drawing/2014/main" id="{559E04B6-52F4-4425-06AA-3BF68FDB95FD}"/>
            </a:ext>
          </a:extLst>
        </xdr:cNvPr>
        <xdr:cNvSpPr/>
      </xdr:nvSpPr>
      <xdr:spPr>
        <a:xfrm>
          <a:off x="81642" y="88446"/>
          <a:ext cx="12709072" cy="676355"/>
        </a:xfrm>
        <a:prstGeom prst="roundRect">
          <a:avLst/>
        </a:prstGeom>
        <a:effectLst>
          <a:outerShdw blurRad="63500" dist="38100" dir="5400000" rotWithShape="0">
            <a:srgbClr val="000000">
              <a:alpha val="45000"/>
            </a:srgb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292552</xdr:colOff>
      <xdr:row>4</xdr:row>
      <xdr:rowOff>88765</xdr:rowOff>
    </xdr:from>
    <xdr:to>
      <xdr:col>20</xdr:col>
      <xdr:colOff>580384</xdr:colOff>
      <xdr:row>34</xdr:row>
      <xdr:rowOff>183695</xdr:rowOff>
    </xdr:to>
    <xdr:sp macro="" textlink="">
      <xdr:nvSpPr>
        <xdr:cNvPr id="3" name="Rectangle: Rounded Corners 2">
          <a:extLst>
            <a:ext uri="{FF2B5EF4-FFF2-40B4-BE49-F238E27FC236}">
              <a16:creationId xmlns:a16="http://schemas.microsoft.com/office/drawing/2014/main" id="{7B535748-8B13-4E75-BE2E-04A452FBB578}"/>
            </a:ext>
          </a:extLst>
        </xdr:cNvPr>
        <xdr:cNvSpPr/>
      </xdr:nvSpPr>
      <xdr:spPr>
        <a:xfrm>
          <a:off x="11314338" y="823551"/>
          <a:ext cx="1512475" cy="5605823"/>
        </a:xfrm>
        <a:prstGeom prst="roundRect">
          <a:avLst>
            <a:gd name="adj" fmla="val 4849"/>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81163</xdr:colOff>
      <xdr:row>4</xdr:row>
      <xdr:rowOff>75158</xdr:rowOff>
    </xdr:from>
    <xdr:to>
      <xdr:col>2</xdr:col>
      <xdr:colOff>244448</xdr:colOff>
      <xdr:row>8</xdr:row>
      <xdr:rowOff>81962</xdr:rowOff>
    </xdr:to>
    <xdr:sp macro="" textlink="">
      <xdr:nvSpPr>
        <xdr:cNvPr id="5" name="Rectangle: Rounded Corners 4">
          <a:extLst>
            <a:ext uri="{FF2B5EF4-FFF2-40B4-BE49-F238E27FC236}">
              <a16:creationId xmlns:a16="http://schemas.microsoft.com/office/drawing/2014/main" id="{BD703AA8-1A15-478C-A574-23FEA7D8D888}"/>
            </a:ext>
          </a:extLst>
        </xdr:cNvPr>
        <xdr:cNvSpPr/>
      </xdr:nvSpPr>
      <xdr:spPr>
        <a:xfrm>
          <a:off x="81163" y="792334"/>
          <a:ext cx="1382485" cy="723981"/>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33538</xdr:colOff>
      <xdr:row>4</xdr:row>
      <xdr:rowOff>75160</xdr:rowOff>
    </xdr:from>
    <xdr:to>
      <xdr:col>9</xdr:col>
      <xdr:colOff>196823</xdr:colOff>
      <xdr:row>8</xdr:row>
      <xdr:rowOff>81964</xdr:rowOff>
    </xdr:to>
    <xdr:sp macro="" textlink="">
      <xdr:nvSpPr>
        <xdr:cNvPr id="15" name="Rectangle: Rounded Corners 14">
          <a:extLst>
            <a:ext uri="{FF2B5EF4-FFF2-40B4-BE49-F238E27FC236}">
              <a16:creationId xmlns:a16="http://schemas.microsoft.com/office/drawing/2014/main" id="{E15CECB4-01D2-4C41-BB8A-0944228C8299}"/>
            </a:ext>
          </a:extLst>
        </xdr:cNvPr>
        <xdr:cNvSpPr/>
      </xdr:nvSpPr>
      <xdr:spPr>
        <a:xfrm>
          <a:off x="4300738" y="792336"/>
          <a:ext cx="1382485" cy="723981"/>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223478</xdr:colOff>
      <xdr:row>4</xdr:row>
      <xdr:rowOff>81401</xdr:rowOff>
    </xdr:from>
    <xdr:to>
      <xdr:col>11</xdr:col>
      <xdr:colOff>226198</xdr:colOff>
      <xdr:row>8</xdr:row>
      <xdr:rowOff>88205</xdr:rowOff>
    </xdr:to>
    <xdr:sp macro="" textlink="">
      <xdr:nvSpPr>
        <xdr:cNvPr id="19" name="Rectangle: Rounded Corners 18">
          <a:extLst>
            <a:ext uri="{FF2B5EF4-FFF2-40B4-BE49-F238E27FC236}">
              <a16:creationId xmlns:a16="http://schemas.microsoft.com/office/drawing/2014/main" id="{EFB4D298-AC71-4B97-9DE5-C23F4A7DD6FB}"/>
            </a:ext>
          </a:extLst>
        </xdr:cNvPr>
        <xdr:cNvSpPr/>
      </xdr:nvSpPr>
      <xdr:spPr>
        <a:xfrm>
          <a:off x="5709878" y="798577"/>
          <a:ext cx="1221920" cy="723981"/>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244447</xdr:colOff>
      <xdr:row>4</xdr:row>
      <xdr:rowOff>68357</xdr:rowOff>
    </xdr:from>
    <xdr:to>
      <xdr:col>13</xdr:col>
      <xdr:colOff>571499</xdr:colOff>
      <xdr:row>8</xdr:row>
      <xdr:rowOff>75161</xdr:rowOff>
    </xdr:to>
    <xdr:sp macro="" textlink="">
      <xdr:nvSpPr>
        <xdr:cNvPr id="20" name="Rectangle: Rounded Corners 19">
          <a:extLst>
            <a:ext uri="{FF2B5EF4-FFF2-40B4-BE49-F238E27FC236}">
              <a16:creationId xmlns:a16="http://schemas.microsoft.com/office/drawing/2014/main" id="{8DA472B6-678C-4472-813E-312CE5D5E644}"/>
            </a:ext>
          </a:extLst>
        </xdr:cNvPr>
        <xdr:cNvSpPr/>
      </xdr:nvSpPr>
      <xdr:spPr>
        <a:xfrm>
          <a:off x="6979983" y="803143"/>
          <a:ext cx="1551695" cy="741589"/>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459122</xdr:colOff>
      <xdr:row>5</xdr:row>
      <xdr:rowOff>7125</xdr:rowOff>
    </xdr:from>
    <xdr:to>
      <xdr:col>2</xdr:col>
      <xdr:colOff>278145</xdr:colOff>
      <xdr:row>6</xdr:row>
      <xdr:rowOff>88767</xdr:rowOff>
    </xdr:to>
    <xdr:sp macro="" textlink="">
      <xdr:nvSpPr>
        <xdr:cNvPr id="10" name="TextBox 9">
          <a:extLst>
            <a:ext uri="{FF2B5EF4-FFF2-40B4-BE49-F238E27FC236}">
              <a16:creationId xmlns:a16="http://schemas.microsoft.com/office/drawing/2014/main" id="{B907EF2E-7701-DA71-0245-FBD135232D26}"/>
            </a:ext>
          </a:extLst>
        </xdr:cNvPr>
        <xdr:cNvSpPr txBox="1"/>
      </xdr:nvSpPr>
      <xdr:spPr>
        <a:xfrm>
          <a:off x="459122" y="903596"/>
          <a:ext cx="1038223" cy="26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latin typeface="+mn-lt"/>
              <a:ea typeface="+mn-ea"/>
              <a:cs typeface="+mn-cs"/>
            </a:rPr>
            <a:t>Total</a:t>
          </a:r>
          <a:r>
            <a:rPr lang="en-US" sz="1100" baseline="0"/>
            <a:t> </a:t>
          </a:r>
          <a:r>
            <a:rPr lang="en-US" sz="1200" b="1">
              <a:ln>
                <a:noFill/>
              </a:ln>
              <a:solidFill>
                <a:schemeClr val="bg1"/>
              </a:solidFill>
              <a:latin typeface="+mn-lt"/>
              <a:ea typeface="+mn-ea"/>
              <a:cs typeface="+mn-cs"/>
            </a:rPr>
            <a:t>Invoice</a:t>
          </a:r>
          <a:endParaRPr lang="en-US" sz="1100" b="1">
            <a:ln>
              <a:noFill/>
            </a:ln>
            <a:solidFill>
              <a:schemeClr val="bg1"/>
            </a:solidFill>
            <a:latin typeface="+mn-lt"/>
            <a:ea typeface="+mn-ea"/>
            <a:cs typeface="+mn-cs"/>
          </a:endParaRPr>
        </a:p>
        <a:p>
          <a:endParaRPr lang="en-US" sz="1100"/>
        </a:p>
      </xdr:txBody>
    </xdr:sp>
    <xdr:clientData/>
  </xdr:twoCellAnchor>
  <xdr:twoCellAnchor>
    <xdr:from>
      <xdr:col>0</xdr:col>
      <xdr:colOff>418300</xdr:colOff>
      <xdr:row>6</xdr:row>
      <xdr:rowOff>34335</xdr:rowOff>
    </xdr:from>
    <xdr:to>
      <xdr:col>2</xdr:col>
      <xdr:colOff>210110</xdr:colOff>
      <xdr:row>7</xdr:row>
      <xdr:rowOff>95567</xdr:rowOff>
    </xdr:to>
    <xdr:sp macro="" textlink="'KPI&amp;Filters'!A5">
      <xdr:nvSpPr>
        <xdr:cNvPr id="12" name="TextBox 11">
          <a:extLst>
            <a:ext uri="{FF2B5EF4-FFF2-40B4-BE49-F238E27FC236}">
              <a16:creationId xmlns:a16="http://schemas.microsoft.com/office/drawing/2014/main" id="{30ABB4E4-DAC2-2EC0-8A2C-ED13CF655918}"/>
            </a:ext>
          </a:extLst>
        </xdr:cNvPr>
        <xdr:cNvSpPr txBox="1"/>
      </xdr:nvSpPr>
      <xdr:spPr>
        <a:xfrm>
          <a:off x="418300" y="1110100"/>
          <a:ext cx="1011010" cy="240526"/>
        </a:xfrm>
        <a:prstGeom prst="rect">
          <a:avLst/>
        </a:prstGeom>
        <a:noFill/>
        <a:ln w="9525">
          <a:noFill/>
          <a:miter lim="800000"/>
          <a:headEnd/>
          <a:tailEnd/>
        </a:ln>
      </xdr:spPr>
      <xdr:txBody>
        <a:bodyPr vertOverflow="clip" wrap="square" lIns="36576" tIns="36576" rIns="0" bIns="0" anchor="ctr" upright="1"/>
        <a:lstStyle/>
        <a:p>
          <a:pPr marL="0" indent="0" algn="ctr" rtl="0">
            <a:defRPr sz="1000"/>
          </a:pPr>
          <a:fld id="{088FFFC8-2D71-483B-B659-A9CA7C8B96FB}" type="TxLink">
            <a:rPr lang="en-US" sz="1200" b="0" i="0" u="none" strike="noStrike" baseline="0">
              <a:ln>
                <a:noFill/>
              </a:ln>
              <a:solidFill>
                <a:schemeClr val="bg1"/>
              </a:solidFill>
              <a:latin typeface="Calibri"/>
              <a:ea typeface="Calibri"/>
              <a:cs typeface="Calibri"/>
            </a:rPr>
            <a:pPr marL="0" indent="0" algn="ctr" rtl="0">
              <a:defRPr sz="1000"/>
            </a:pPr>
            <a:t>₹ 18,456,281</a:t>
          </a:fld>
          <a:endParaRPr lang="en-US" sz="1200" b="0" i="0" u="none" strike="noStrike" baseline="0">
            <a:ln>
              <a:noFill/>
            </a:ln>
            <a:solidFill>
              <a:schemeClr val="bg1"/>
            </a:solidFill>
            <a:latin typeface="Calibri"/>
            <a:ea typeface="Calibri"/>
            <a:cs typeface="Calibri"/>
          </a:endParaRPr>
        </a:p>
      </xdr:txBody>
    </xdr:sp>
    <xdr:clientData/>
  </xdr:twoCellAnchor>
  <xdr:twoCellAnchor>
    <xdr:from>
      <xdr:col>2</xdr:col>
      <xdr:colOff>268942</xdr:colOff>
      <xdr:row>4</xdr:row>
      <xdr:rowOff>81963</xdr:rowOff>
    </xdr:from>
    <xdr:to>
      <xdr:col>4</xdr:col>
      <xdr:colOff>336977</xdr:colOff>
      <xdr:row>8</xdr:row>
      <xdr:rowOff>88767</xdr:rowOff>
    </xdr:to>
    <xdr:sp macro="" textlink="">
      <xdr:nvSpPr>
        <xdr:cNvPr id="13" name="Rectangle: Rounded Corners 12">
          <a:extLst>
            <a:ext uri="{FF2B5EF4-FFF2-40B4-BE49-F238E27FC236}">
              <a16:creationId xmlns:a16="http://schemas.microsoft.com/office/drawing/2014/main" id="{34767D02-74F3-1994-F479-4E41B77F5872}"/>
            </a:ext>
          </a:extLst>
        </xdr:cNvPr>
        <xdr:cNvSpPr/>
      </xdr:nvSpPr>
      <xdr:spPr>
        <a:xfrm>
          <a:off x="1488142" y="799139"/>
          <a:ext cx="1287235" cy="723981"/>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366352</xdr:colOff>
      <xdr:row>4</xdr:row>
      <xdr:rowOff>90926</xdr:rowOff>
    </xdr:from>
    <xdr:to>
      <xdr:col>7</xdr:col>
      <xdr:colOff>15289</xdr:colOff>
      <xdr:row>8</xdr:row>
      <xdr:rowOff>97730</xdr:rowOff>
    </xdr:to>
    <xdr:sp macro="" textlink="">
      <xdr:nvSpPr>
        <xdr:cNvPr id="28" name="Rectangle: Rounded Corners 27">
          <a:extLst>
            <a:ext uri="{FF2B5EF4-FFF2-40B4-BE49-F238E27FC236}">
              <a16:creationId xmlns:a16="http://schemas.microsoft.com/office/drawing/2014/main" id="{50C04600-A76E-51AA-05D2-93219DC86E8D}"/>
            </a:ext>
          </a:extLst>
        </xdr:cNvPr>
        <xdr:cNvSpPr/>
      </xdr:nvSpPr>
      <xdr:spPr>
        <a:xfrm>
          <a:off x="2804752" y="808102"/>
          <a:ext cx="1477737" cy="723981"/>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7</xdr:col>
      <xdr:colOff>128468</xdr:colOff>
      <xdr:row>4</xdr:row>
      <xdr:rowOff>152402</xdr:rowOff>
    </xdr:from>
    <xdr:to>
      <xdr:col>7</xdr:col>
      <xdr:colOff>472729</xdr:colOff>
      <xdr:row>6</xdr:row>
      <xdr:rowOff>136392</xdr:rowOff>
    </xdr:to>
    <xdr:pic>
      <xdr:nvPicPr>
        <xdr:cNvPr id="36" name="Graphic 35" descr="Money with solid fill">
          <a:extLst>
            <a:ext uri="{FF2B5EF4-FFF2-40B4-BE49-F238E27FC236}">
              <a16:creationId xmlns:a16="http://schemas.microsoft.com/office/drawing/2014/main" id="{315E3C7F-5EFB-8CEC-92C0-264F100755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95668" y="869578"/>
          <a:ext cx="344261" cy="342579"/>
        </a:xfrm>
        <a:prstGeom prst="rect">
          <a:avLst/>
        </a:prstGeom>
      </xdr:spPr>
    </xdr:pic>
    <xdr:clientData/>
  </xdr:twoCellAnchor>
  <xdr:twoCellAnchor>
    <xdr:from>
      <xdr:col>5</xdr:col>
      <xdr:colOff>33217</xdr:colOff>
      <xdr:row>5</xdr:row>
      <xdr:rowOff>27537</xdr:rowOff>
    </xdr:from>
    <xdr:to>
      <xdr:col>7</xdr:col>
      <xdr:colOff>94449</xdr:colOff>
      <xdr:row>6</xdr:row>
      <xdr:rowOff>122786</xdr:rowOff>
    </xdr:to>
    <xdr:sp macro="" textlink="">
      <xdr:nvSpPr>
        <xdr:cNvPr id="40" name="TextBox 39">
          <a:extLst>
            <a:ext uri="{FF2B5EF4-FFF2-40B4-BE49-F238E27FC236}">
              <a16:creationId xmlns:a16="http://schemas.microsoft.com/office/drawing/2014/main" id="{D2F9A9C7-C9BC-9927-A0AA-0EA3B0473D28}"/>
            </a:ext>
          </a:extLst>
        </xdr:cNvPr>
        <xdr:cNvSpPr txBox="1"/>
      </xdr:nvSpPr>
      <xdr:spPr>
        <a:xfrm>
          <a:off x="3081217" y="924008"/>
          <a:ext cx="1280432" cy="2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n>
                <a:noFill/>
              </a:ln>
              <a:solidFill>
                <a:schemeClr val="bg1"/>
              </a:solidFill>
              <a:latin typeface="+mn-lt"/>
              <a:ea typeface="+mn-ea"/>
              <a:cs typeface="+mn-cs"/>
            </a:rPr>
            <a:t>Tot</a:t>
          </a:r>
          <a:r>
            <a:rPr lang="en-US" sz="1050" baseline="0"/>
            <a:t> </a:t>
          </a:r>
          <a:r>
            <a:rPr lang="en-US" sz="1200" b="1">
              <a:ln>
                <a:noFill/>
              </a:ln>
              <a:solidFill>
                <a:schemeClr val="bg1"/>
              </a:solidFill>
              <a:latin typeface="+mn-lt"/>
              <a:ea typeface="+mn-ea"/>
              <a:cs typeface="+mn-cs"/>
            </a:rPr>
            <a:t>Invoice</a:t>
          </a:r>
          <a:r>
            <a:rPr lang="en-US" sz="1100" b="1" baseline="0">
              <a:ln>
                <a:noFill/>
              </a:ln>
              <a:solidFill>
                <a:schemeClr val="bg1"/>
              </a:solidFill>
              <a:latin typeface="+mn-lt"/>
              <a:ea typeface="+mn-ea"/>
              <a:cs typeface="+mn-cs"/>
            </a:rPr>
            <a:t> </a:t>
          </a:r>
          <a:r>
            <a:rPr lang="en-US" sz="1100" b="1">
              <a:ln>
                <a:noFill/>
              </a:ln>
              <a:solidFill>
                <a:schemeClr val="bg1"/>
              </a:solidFill>
              <a:latin typeface="+mn-lt"/>
              <a:ea typeface="+mn-ea"/>
              <a:cs typeface="+mn-cs"/>
            </a:rPr>
            <a:t>Count</a:t>
          </a:r>
          <a:endParaRPr lang="en-US" sz="1150" b="1">
            <a:ln>
              <a:noFill/>
            </a:ln>
            <a:solidFill>
              <a:schemeClr val="bg1"/>
            </a:solidFill>
            <a:latin typeface="+mn-lt"/>
            <a:ea typeface="+mn-ea"/>
            <a:cs typeface="+mn-cs"/>
          </a:endParaRPr>
        </a:p>
        <a:p>
          <a:endParaRPr lang="en-US" sz="1100"/>
        </a:p>
      </xdr:txBody>
    </xdr:sp>
    <xdr:clientData/>
  </xdr:twoCellAnchor>
  <xdr:twoCellAnchor>
    <xdr:from>
      <xdr:col>5</xdr:col>
      <xdr:colOff>67236</xdr:colOff>
      <xdr:row>6</xdr:row>
      <xdr:rowOff>75158</xdr:rowOff>
    </xdr:from>
    <xdr:to>
      <xdr:col>6</xdr:col>
      <xdr:colOff>465925</xdr:colOff>
      <xdr:row>7</xdr:row>
      <xdr:rowOff>95567</xdr:rowOff>
    </xdr:to>
    <xdr:sp macro="" textlink="'KPI&amp;Filters'!A13">
      <xdr:nvSpPr>
        <xdr:cNvPr id="41" name="TextBox 40">
          <a:extLst>
            <a:ext uri="{FF2B5EF4-FFF2-40B4-BE49-F238E27FC236}">
              <a16:creationId xmlns:a16="http://schemas.microsoft.com/office/drawing/2014/main" id="{0139D1B8-0085-7154-2D40-B6C860FC25F7}"/>
            </a:ext>
          </a:extLst>
        </xdr:cNvPr>
        <xdr:cNvSpPr txBox="1"/>
      </xdr:nvSpPr>
      <xdr:spPr>
        <a:xfrm>
          <a:off x="3115236" y="1150923"/>
          <a:ext cx="1008289" cy="199703"/>
        </a:xfrm>
        <a:prstGeom prst="rect">
          <a:avLst/>
        </a:prstGeom>
        <a:noFill/>
        <a:ln w="9525">
          <a:noFill/>
          <a:miter lim="800000"/>
          <a:headEnd/>
          <a:tailEnd/>
        </a:ln>
      </xdr:spPr>
      <xdr:txBody>
        <a:bodyPr vertOverflow="clip" wrap="square" lIns="36576" tIns="36576" rIns="0" bIns="0" anchor="ctr" upright="1"/>
        <a:lstStyle/>
        <a:p>
          <a:pPr marL="0" indent="0" algn="ctr" rtl="0">
            <a:defRPr sz="1000"/>
          </a:pPr>
          <a:fld id="{02B40A8A-78B5-480B-B7D4-4CB12DE9EDA8}" type="TxLink">
            <a:rPr lang="en-US" sz="1200" b="0" i="0" u="none" strike="noStrike" baseline="0">
              <a:ln>
                <a:noFill/>
              </a:ln>
              <a:solidFill>
                <a:schemeClr val="bg1"/>
              </a:solidFill>
              <a:latin typeface="Calibri"/>
              <a:ea typeface="Calibri"/>
              <a:cs typeface="Calibri"/>
            </a:rPr>
            <a:pPr marL="0" indent="0" algn="ctr" rtl="0">
              <a:defRPr sz="1000"/>
            </a:pPr>
            <a:t>443</a:t>
          </a:fld>
          <a:endParaRPr lang="en-US" sz="1200" b="0" i="0" u="none" strike="noStrike" baseline="0">
            <a:ln>
              <a:noFill/>
            </a:ln>
            <a:solidFill>
              <a:schemeClr val="bg1"/>
            </a:solidFill>
            <a:latin typeface="Calibri"/>
            <a:ea typeface="Calibri"/>
            <a:cs typeface="Calibri"/>
          </a:endParaRPr>
        </a:p>
      </xdr:txBody>
    </xdr:sp>
    <xdr:clientData/>
  </xdr:twoCellAnchor>
  <xdr:twoCellAnchor>
    <xdr:from>
      <xdr:col>7</xdr:col>
      <xdr:colOff>472728</xdr:colOff>
      <xdr:row>5</xdr:row>
      <xdr:rowOff>34336</xdr:rowOff>
    </xdr:from>
    <xdr:to>
      <xdr:col>9</xdr:col>
      <xdr:colOff>223717</xdr:colOff>
      <xdr:row>6</xdr:row>
      <xdr:rowOff>115978</xdr:rowOff>
    </xdr:to>
    <xdr:sp macro="" textlink="">
      <xdr:nvSpPr>
        <xdr:cNvPr id="43" name="TextBox 42">
          <a:extLst>
            <a:ext uri="{FF2B5EF4-FFF2-40B4-BE49-F238E27FC236}">
              <a16:creationId xmlns:a16="http://schemas.microsoft.com/office/drawing/2014/main" id="{6F9E3CB5-2E08-0F59-721C-B119A4072DA4}"/>
            </a:ext>
          </a:extLst>
        </xdr:cNvPr>
        <xdr:cNvSpPr txBox="1"/>
      </xdr:nvSpPr>
      <xdr:spPr>
        <a:xfrm>
          <a:off x="4739928" y="930807"/>
          <a:ext cx="970189" cy="26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latin typeface="+mn-lt"/>
              <a:ea typeface="+mn-ea"/>
              <a:cs typeface="+mn-cs"/>
            </a:rPr>
            <a:t>Total Tax</a:t>
          </a:r>
        </a:p>
        <a:p>
          <a:endParaRPr lang="en-US" sz="1150" b="1">
            <a:ln>
              <a:noFill/>
            </a:ln>
            <a:solidFill>
              <a:schemeClr val="bg1"/>
            </a:solidFill>
            <a:latin typeface="+mn-lt"/>
            <a:ea typeface="+mn-ea"/>
            <a:cs typeface="+mn-cs"/>
          </a:endParaRPr>
        </a:p>
        <a:p>
          <a:endParaRPr lang="en-US" sz="1100"/>
        </a:p>
      </xdr:txBody>
    </xdr:sp>
    <xdr:clientData/>
  </xdr:twoCellAnchor>
  <xdr:twoCellAnchor>
    <xdr:from>
      <xdr:col>7</xdr:col>
      <xdr:colOff>278146</xdr:colOff>
      <xdr:row>6</xdr:row>
      <xdr:rowOff>81961</xdr:rowOff>
    </xdr:from>
    <xdr:to>
      <xdr:col>9</xdr:col>
      <xdr:colOff>67235</xdr:colOff>
      <xdr:row>7</xdr:row>
      <xdr:rowOff>143193</xdr:rowOff>
    </xdr:to>
    <xdr:sp macro="" textlink="'KPI&amp;Filters'!A17">
      <xdr:nvSpPr>
        <xdr:cNvPr id="44" name="TextBox 43">
          <a:extLst>
            <a:ext uri="{FF2B5EF4-FFF2-40B4-BE49-F238E27FC236}">
              <a16:creationId xmlns:a16="http://schemas.microsoft.com/office/drawing/2014/main" id="{B71C298E-803E-310C-0F48-EF2C523E2E27}"/>
            </a:ext>
          </a:extLst>
        </xdr:cNvPr>
        <xdr:cNvSpPr txBox="1"/>
      </xdr:nvSpPr>
      <xdr:spPr>
        <a:xfrm>
          <a:off x="4545346" y="1157726"/>
          <a:ext cx="1008289" cy="240526"/>
        </a:xfrm>
        <a:prstGeom prst="rect">
          <a:avLst/>
        </a:prstGeom>
        <a:noFill/>
        <a:ln w="9525">
          <a:noFill/>
          <a:miter lim="800000"/>
          <a:headEnd/>
          <a:tailEnd/>
        </a:ln>
      </xdr:spPr>
      <xdr:txBody>
        <a:bodyPr vertOverflow="clip" wrap="square" lIns="36576" tIns="36576" rIns="0" bIns="0" anchor="ctr" upright="1"/>
        <a:lstStyle/>
        <a:p>
          <a:pPr marL="0" indent="0" algn="ctr" rtl="0">
            <a:defRPr sz="1000"/>
          </a:pPr>
          <a:fld id="{77D0275A-4DBB-42EE-8768-7513872D4C23}" type="TxLink">
            <a:rPr lang="en-US" sz="1200" b="0" i="0" u="none" strike="noStrike" baseline="0">
              <a:ln>
                <a:noFill/>
              </a:ln>
              <a:solidFill>
                <a:schemeClr val="bg1"/>
              </a:solidFill>
              <a:latin typeface="Calibri"/>
              <a:ea typeface="Calibri"/>
              <a:cs typeface="Calibri"/>
            </a:rPr>
            <a:pPr marL="0" indent="0" algn="ctr" rtl="0">
              <a:defRPr sz="1000"/>
            </a:pPr>
            <a:t>₹ 2,490,841</a:t>
          </a:fld>
          <a:endParaRPr lang="en-US" sz="1200" b="0" i="0" u="none" strike="noStrike" baseline="0">
            <a:ln>
              <a:noFill/>
            </a:ln>
            <a:solidFill>
              <a:schemeClr val="bg1"/>
            </a:solidFill>
            <a:latin typeface="Calibri"/>
            <a:ea typeface="Calibri"/>
            <a:cs typeface="Calibri"/>
          </a:endParaRPr>
        </a:p>
      </xdr:txBody>
    </xdr:sp>
    <xdr:clientData/>
  </xdr:twoCellAnchor>
  <xdr:twoCellAnchor>
    <xdr:from>
      <xdr:col>10</xdr:col>
      <xdr:colOff>19610</xdr:colOff>
      <xdr:row>5</xdr:row>
      <xdr:rowOff>27532</xdr:rowOff>
    </xdr:from>
    <xdr:to>
      <xdr:col>11</xdr:col>
      <xdr:colOff>343459</xdr:colOff>
      <xdr:row>6</xdr:row>
      <xdr:rowOff>109174</xdr:rowOff>
    </xdr:to>
    <xdr:sp macro="" textlink="">
      <xdr:nvSpPr>
        <xdr:cNvPr id="46" name="TextBox 45">
          <a:extLst>
            <a:ext uri="{FF2B5EF4-FFF2-40B4-BE49-F238E27FC236}">
              <a16:creationId xmlns:a16="http://schemas.microsoft.com/office/drawing/2014/main" id="{4CAB69FC-9F40-AC68-BDC4-F1B3B306678F}"/>
            </a:ext>
          </a:extLst>
        </xdr:cNvPr>
        <xdr:cNvSpPr txBox="1"/>
      </xdr:nvSpPr>
      <xdr:spPr>
        <a:xfrm>
          <a:off x="6115610" y="924003"/>
          <a:ext cx="933449" cy="26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latin typeface="+mn-lt"/>
              <a:ea typeface="+mn-ea"/>
              <a:cs typeface="+mn-cs"/>
            </a:rPr>
            <a:t>%</a:t>
          </a:r>
          <a:r>
            <a:rPr lang="en-US" sz="1100" b="1" baseline="0">
              <a:ln>
                <a:noFill/>
              </a:ln>
              <a:solidFill>
                <a:schemeClr val="bg1"/>
              </a:solidFill>
              <a:latin typeface="+mn-lt"/>
              <a:ea typeface="+mn-ea"/>
              <a:cs typeface="+mn-cs"/>
            </a:rPr>
            <a:t> </a:t>
          </a:r>
          <a:r>
            <a:rPr lang="en-US" sz="1200" b="1">
              <a:ln>
                <a:noFill/>
              </a:ln>
              <a:solidFill>
                <a:schemeClr val="bg1"/>
              </a:solidFill>
              <a:latin typeface="+mn-lt"/>
              <a:ea typeface="+mn-ea"/>
              <a:cs typeface="+mn-cs"/>
            </a:rPr>
            <a:t>Overdue</a:t>
          </a:r>
        </a:p>
        <a:p>
          <a:endParaRPr lang="en-US" sz="1100"/>
        </a:p>
      </xdr:txBody>
    </xdr:sp>
    <xdr:clientData/>
  </xdr:twoCellAnchor>
  <xdr:twoCellAnchor>
    <xdr:from>
      <xdr:col>9</xdr:col>
      <xdr:colOff>459121</xdr:colOff>
      <xdr:row>6</xdr:row>
      <xdr:rowOff>75157</xdr:rowOff>
    </xdr:from>
    <xdr:to>
      <xdr:col>11</xdr:col>
      <xdr:colOff>250931</xdr:colOff>
      <xdr:row>7</xdr:row>
      <xdr:rowOff>136389</xdr:rowOff>
    </xdr:to>
    <xdr:sp macro="" textlink="'KPI&amp;Filters'!E18">
      <xdr:nvSpPr>
        <xdr:cNvPr id="47" name="TextBox 46">
          <a:extLst>
            <a:ext uri="{FF2B5EF4-FFF2-40B4-BE49-F238E27FC236}">
              <a16:creationId xmlns:a16="http://schemas.microsoft.com/office/drawing/2014/main" id="{C8AB5CB8-451D-B260-A87C-F32F513E03BC}"/>
            </a:ext>
          </a:extLst>
        </xdr:cNvPr>
        <xdr:cNvSpPr txBox="1"/>
      </xdr:nvSpPr>
      <xdr:spPr>
        <a:xfrm>
          <a:off x="5970014" y="1177336"/>
          <a:ext cx="1016453" cy="244928"/>
        </a:xfrm>
        <a:prstGeom prst="rect">
          <a:avLst/>
        </a:prstGeom>
        <a:noFill/>
        <a:ln w="9525">
          <a:noFill/>
          <a:miter lim="800000"/>
          <a:headEnd/>
          <a:tailEnd/>
        </a:ln>
      </xdr:spPr>
      <xdr:txBody>
        <a:bodyPr vertOverflow="clip" wrap="square" lIns="36576" tIns="36576" rIns="0" bIns="0" anchor="ctr" upright="1"/>
        <a:lstStyle/>
        <a:p>
          <a:pPr marL="0" indent="0" algn="ctr" rtl="0">
            <a:defRPr sz="1000"/>
          </a:pPr>
          <a:fld id="{59CDE1A2-072F-4495-ACEB-F707F5AD5E49}" type="TxLink">
            <a:rPr lang="en-US" sz="1100" b="0" i="0" u="none" strike="noStrike" baseline="0">
              <a:ln>
                <a:noFill/>
              </a:ln>
              <a:solidFill>
                <a:srgbClr val="E2EFDA"/>
              </a:solidFill>
              <a:latin typeface="Calibri"/>
              <a:ea typeface="Calibri"/>
              <a:cs typeface="Calibri"/>
            </a:rPr>
            <a:pPr marL="0" indent="0" algn="ctr" rtl="0">
              <a:defRPr sz="1000"/>
            </a:pPr>
            <a:t>19%</a:t>
          </a:fld>
          <a:endParaRPr lang="en-US" sz="1200" b="0" i="0" u="none" strike="noStrike" baseline="0">
            <a:ln>
              <a:noFill/>
            </a:ln>
            <a:solidFill>
              <a:schemeClr val="bg1"/>
            </a:solidFill>
            <a:latin typeface="Calibri"/>
            <a:ea typeface="Calibri"/>
            <a:cs typeface="Calibri"/>
          </a:endParaRPr>
        </a:p>
      </xdr:txBody>
    </xdr:sp>
    <xdr:clientData/>
  </xdr:twoCellAnchor>
  <xdr:twoCellAnchor>
    <xdr:from>
      <xdr:col>11</xdr:col>
      <xdr:colOff>564777</xdr:colOff>
      <xdr:row>5</xdr:row>
      <xdr:rowOff>2801</xdr:rowOff>
    </xdr:from>
    <xdr:to>
      <xdr:col>13</xdr:col>
      <xdr:colOff>554691</xdr:colOff>
      <xdr:row>6</xdr:row>
      <xdr:rowOff>26895</xdr:rowOff>
    </xdr:to>
    <xdr:sp macro="" textlink="">
      <xdr:nvSpPr>
        <xdr:cNvPr id="49" name="TextBox 48">
          <a:extLst>
            <a:ext uri="{FF2B5EF4-FFF2-40B4-BE49-F238E27FC236}">
              <a16:creationId xmlns:a16="http://schemas.microsoft.com/office/drawing/2014/main" id="{0CE3BC6A-12DB-1E01-BFBD-225D82A3DC6B}"/>
            </a:ext>
          </a:extLst>
        </xdr:cNvPr>
        <xdr:cNvSpPr txBox="1"/>
      </xdr:nvSpPr>
      <xdr:spPr>
        <a:xfrm>
          <a:off x="7270377" y="899272"/>
          <a:ext cx="1209114" cy="20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ln>
                <a:noFill/>
              </a:ln>
              <a:solidFill>
                <a:schemeClr val="bg1"/>
              </a:solidFill>
              <a:latin typeface="+mn-lt"/>
              <a:ea typeface="+mn-ea"/>
              <a:cs typeface="+mn-cs"/>
            </a:rPr>
            <a:t>Tot</a:t>
          </a:r>
          <a:r>
            <a:rPr lang="en-US"/>
            <a:t> </a:t>
          </a:r>
          <a:r>
            <a:rPr lang="en-US" sz="1200" b="1" baseline="0">
              <a:ln>
                <a:noFill/>
              </a:ln>
              <a:solidFill>
                <a:schemeClr val="bg1"/>
              </a:solidFill>
              <a:latin typeface="+mn-lt"/>
              <a:ea typeface="+mn-ea"/>
              <a:cs typeface="+mn-cs"/>
            </a:rPr>
            <a:t>Outstanding</a:t>
          </a:r>
          <a:endParaRPr lang="en-US" sz="1100" b="1" baseline="0">
            <a:ln>
              <a:noFill/>
            </a:ln>
            <a:solidFill>
              <a:schemeClr val="bg1"/>
            </a:solidFill>
            <a:latin typeface="+mn-lt"/>
            <a:ea typeface="+mn-ea"/>
            <a:cs typeface="+mn-cs"/>
          </a:endParaRPr>
        </a:p>
      </xdr:txBody>
    </xdr:sp>
    <xdr:clientData/>
  </xdr:twoCellAnchor>
  <xdr:twoCellAnchor>
    <xdr:from>
      <xdr:col>12</xdr:col>
      <xdr:colOff>26414</xdr:colOff>
      <xdr:row>6</xdr:row>
      <xdr:rowOff>75157</xdr:rowOff>
    </xdr:from>
    <xdr:to>
      <xdr:col>13</xdr:col>
      <xdr:colOff>425103</xdr:colOff>
      <xdr:row>7</xdr:row>
      <xdr:rowOff>136389</xdr:rowOff>
    </xdr:to>
    <xdr:sp macro="" textlink="'KPI&amp;Filters'!J3">
      <xdr:nvSpPr>
        <xdr:cNvPr id="50" name="TextBox 49">
          <a:extLst>
            <a:ext uri="{FF2B5EF4-FFF2-40B4-BE49-F238E27FC236}">
              <a16:creationId xmlns:a16="http://schemas.microsoft.com/office/drawing/2014/main" id="{8FDD7A32-2F40-AE4F-2CA7-2C9946B251AC}"/>
            </a:ext>
          </a:extLst>
        </xdr:cNvPr>
        <xdr:cNvSpPr txBox="1"/>
      </xdr:nvSpPr>
      <xdr:spPr>
        <a:xfrm>
          <a:off x="7341614" y="1150922"/>
          <a:ext cx="1008289" cy="240526"/>
        </a:xfrm>
        <a:prstGeom prst="rect">
          <a:avLst/>
        </a:prstGeom>
        <a:noFill/>
        <a:ln w="9525">
          <a:noFill/>
          <a:miter lim="800000"/>
          <a:headEnd/>
          <a:tailEnd/>
        </a:ln>
      </xdr:spPr>
      <xdr:txBody>
        <a:bodyPr vertOverflow="clip" wrap="square" lIns="36576" tIns="36576" rIns="0" bIns="0" anchor="ctr" upright="1"/>
        <a:lstStyle/>
        <a:p>
          <a:pPr marL="0" indent="0" algn="ctr" rtl="0">
            <a:defRPr sz="1000"/>
          </a:pPr>
          <a:fld id="{EB479ECB-2E09-4B69-85F5-080806E1F5CB}" type="TxLink">
            <a:rPr lang="en-US" sz="1100" b="0" i="0" u="none" strike="noStrike" baseline="0">
              <a:ln>
                <a:noFill/>
              </a:ln>
              <a:solidFill>
                <a:srgbClr val="E2EFDA"/>
              </a:solidFill>
              <a:latin typeface="Calibri"/>
              <a:ea typeface="Calibri"/>
              <a:cs typeface="Calibri"/>
            </a:rPr>
            <a:pPr marL="0" indent="0" algn="ctr" rtl="0">
              <a:defRPr sz="1000"/>
            </a:pPr>
            <a:t>₹ 10,773,937</a:t>
          </a:fld>
          <a:endParaRPr lang="en-US" sz="1200" b="0" i="0" u="none" strike="noStrike" baseline="0">
            <a:ln>
              <a:noFill/>
            </a:ln>
            <a:solidFill>
              <a:schemeClr val="bg1"/>
            </a:solidFill>
            <a:latin typeface="Calibri"/>
            <a:ea typeface="Calibri"/>
            <a:cs typeface="Calibri"/>
          </a:endParaRPr>
        </a:p>
      </xdr:txBody>
    </xdr:sp>
    <xdr:clientData/>
  </xdr:twoCellAnchor>
  <xdr:twoCellAnchor>
    <xdr:from>
      <xdr:col>3</xdr:col>
      <xdr:colOff>53627</xdr:colOff>
      <xdr:row>5</xdr:row>
      <xdr:rowOff>13926</xdr:rowOff>
    </xdr:from>
    <xdr:to>
      <xdr:col>4</xdr:col>
      <xdr:colOff>411495</xdr:colOff>
      <xdr:row>6</xdr:row>
      <xdr:rowOff>95568</xdr:rowOff>
    </xdr:to>
    <xdr:sp macro="" textlink="">
      <xdr:nvSpPr>
        <xdr:cNvPr id="52" name="TextBox 51">
          <a:extLst>
            <a:ext uri="{FF2B5EF4-FFF2-40B4-BE49-F238E27FC236}">
              <a16:creationId xmlns:a16="http://schemas.microsoft.com/office/drawing/2014/main" id="{8124D3C1-CD56-693D-974C-38273772F4A7}"/>
            </a:ext>
          </a:extLst>
        </xdr:cNvPr>
        <xdr:cNvSpPr txBox="1"/>
      </xdr:nvSpPr>
      <xdr:spPr>
        <a:xfrm>
          <a:off x="1882427" y="910397"/>
          <a:ext cx="967468" cy="26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latin typeface="+mn-lt"/>
              <a:ea typeface="+mn-ea"/>
              <a:cs typeface="+mn-cs"/>
            </a:rPr>
            <a:t>Avg</a:t>
          </a:r>
          <a:r>
            <a:rPr lang="en-US" sz="1100" baseline="0"/>
            <a:t> </a:t>
          </a:r>
          <a:r>
            <a:rPr lang="en-US" sz="1200" b="1">
              <a:ln>
                <a:noFill/>
              </a:ln>
              <a:solidFill>
                <a:schemeClr val="bg1"/>
              </a:solidFill>
              <a:latin typeface="+mn-lt"/>
              <a:ea typeface="+mn-ea"/>
              <a:cs typeface="+mn-cs"/>
            </a:rPr>
            <a:t>Invoice</a:t>
          </a:r>
        </a:p>
        <a:p>
          <a:endParaRPr lang="en-US" sz="1100"/>
        </a:p>
      </xdr:txBody>
    </xdr:sp>
    <xdr:clientData/>
  </xdr:twoCellAnchor>
  <xdr:twoCellAnchor>
    <xdr:from>
      <xdr:col>2</xdr:col>
      <xdr:colOff>561175</xdr:colOff>
      <xdr:row>6</xdr:row>
      <xdr:rowOff>54748</xdr:rowOff>
    </xdr:from>
    <xdr:to>
      <xdr:col>4</xdr:col>
      <xdr:colOff>350264</xdr:colOff>
      <xdr:row>7</xdr:row>
      <xdr:rowOff>115980</xdr:rowOff>
    </xdr:to>
    <xdr:sp macro="" textlink="'KPI&amp;Filters'!A9">
      <xdr:nvSpPr>
        <xdr:cNvPr id="53" name="TextBox 52">
          <a:extLst>
            <a:ext uri="{FF2B5EF4-FFF2-40B4-BE49-F238E27FC236}">
              <a16:creationId xmlns:a16="http://schemas.microsoft.com/office/drawing/2014/main" id="{1218EBE3-2E85-EECE-A1BD-C5287962B642}"/>
            </a:ext>
          </a:extLst>
        </xdr:cNvPr>
        <xdr:cNvSpPr txBox="1"/>
      </xdr:nvSpPr>
      <xdr:spPr>
        <a:xfrm>
          <a:off x="1780375" y="1130513"/>
          <a:ext cx="1008289" cy="240526"/>
        </a:xfrm>
        <a:prstGeom prst="rect">
          <a:avLst/>
        </a:prstGeom>
        <a:noFill/>
        <a:ln w="9525">
          <a:noFill/>
          <a:miter lim="800000"/>
          <a:headEnd/>
          <a:tailEnd/>
        </a:ln>
      </xdr:spPr>
      <xdr:txBody>
        <a:bodyPr vertOverflow="clip" wrap="square" lIns="36576" tIns="36576" rIns="0" bIns="0" anchor="ctr" upright="1"/>
        <a:lstStyle/>
        <a:p>
          <a:pPr marL="0" indent="0" algn="ctr" rtl="0">
            <a:defRPr sz="1000"/>
          </a:pPr>
          <a:fld id="{959FF405-2109-468D-AF90-44255C0B0BA0}" type="TxLink">
            <a:rPr lang="en-US" sz="1200" b="0" i="0" u="none" strike="noStrike" baseline="0">
              <a:ln>
                <a:noFill/>
              </a:ln>
              <a:solidFill>
                <a:schemeClr val="bg1"/>
              </a:solidFill>
              <a:latin typeface="Calibri"/>
              <a:ea typeface="Calibri"/>
              <a:cs typeface="Calibri"/>
            </a:rPr>
            <a:pPr marL="0" indent="0" algn="ctr" rtl="0">
              <a:defRPr sz="1000"/>
            </a:pPr>
            <a:t>₹ 41,662</a:t>
          </a:fld>
          <a:endParaRPr lang="en-US" sz="1200" b="0" i="0" u="none" strike="noStrike" baseline="0">
            <a:ln>
              <a:noFill/>
            </a:ln>
            <a:solidFill>
              <a:schemeClr val="bg1"/>
            </a:solidFill>
            <a:latin typeface="Calibri"/>
            <a:ea typeface="Calibri"/>
            <a:cs typeface="Calibri"/>
          </a:endParaRPr>
        </a:p>
      </xdr:txBody>
    </xdr:sp>
    <xdr:clientData/>
  </xdr:twoCellAnchor>
  <xdr:twoCellAnchor editAs="oneCell">
    <xdr:from>
      <xdr:col>9</xdr:col>
      <xdr:colOff>342338</xdr:colOff>
      <xdr:row>5</xdr:row>
      <xdr:rowOff>4962</xdr:rowOff>
    </xdr:from>
    <xdr:to>
      <xdr:col>10</xdr:col>
      <xdr:colOff>93826</xdr:colOff>
      <xdr:row>7</xdr:row>
      <xdr:rowOff>880</xdr:rowOff>
    </xdr:to>
    <xdr:pic>
      <xdr:nvPicPr>
        <xdr:cNvPr id="59" name="Graphic 58" descr="Bar chart with solid fill">
          <a:extLst>
            <a:ext uri="{FF2B5EF4-FFF2-40B4-BE49-F238E27FC236}">
              <a16:creationId xmlns:a16="http://schemas.microsoft.com/office/drawing/2014/main" id="{5FC625CC-8988-E144-365F-8D025699ED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28738" y="901433"/>
          <a:ext cx="361088" cy="354506"/>
        </a:xfrm>
        <a:prstGeom prst="rect">
          <a:avLst/>
        </a:prstGeom>
      </xdr:spPr>
    </xdr:pic>
    <xdr:clientData/>
  </xdr:twoCellAnchor>
  <xdr:twoCellAnchor editAs="oneCell">
    <xdr:from>
      <xdr:col>4</xdr:col>
      <xdr:colOff>405013</xdr:colOff>
      <xdr:row>5</xdr:row>
      <xdr:rowOff>41143</xdr:rowOff>
    </xdr:from>
    <xdr:to>
      <xdr:col>5</xdr:col>
      <xdr:colOff>189699</xdr:colOff>
      <xdr:row>7</xdr:row>
      <xdr:rowOff>109178</xdr:rowOff>
    </xdr:to>
    <xdr:pic>
      <xdr:nvPicPr>
        <xdr:cNvPr id="61" name="Graphic 60" descr="Checklist with solid fill">
          <a:extLst>
            <a:ext uri="{FF2B5EF4-FFF2-40B4-BE49-F238E27FC236}">
              <a16:creationId xmlns:a16="http://schemas.microsoft.com/office/drawing/2014/main" id="{952F5FD4-9241-ABAB-D8C9-76DB7C6959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43413" y="937614"/>
          <a:ext cx="394286" cy="426623"/>
        </a:xfrm>
        <a:prstGeom prst="rect">
          <a:avLst/>
        </a:prstGeom>
      </xdr:spPr>
    </xdr:pic>
    <xdr:clientData/>
  </xdr:twoCellAnchor>
  <xdr:twoCellAnchor editAs="oneCell">
    <xdr:from>
      <xdr:col>2</xdr:col>
      <xdr:colOff>330498</xdr:colOff>
      <xdr:row>5</xdr:row>
      <xdr:rowOff>82607</xdr:rowOff>
    </xdr:from>
    <xdr:to>
      <xdr:col>3</xdr:col>
      <xdr:colOff>80844</xdr:colOff>
      <xdr:row>7</xdr:row>
      <xdr:rowOff>75160</xdr:rowOff>
    </xdr:to>
    <xdr:pic>
      <xdr:nvPicPr>
        <xdr:cNvPr id="63" name="Graphic 62" descr="Coins with solid fill">
          <a:extLst>
            <a:ext uri="{FF2B5EF4-FFF2-40B4-BE49-F238E27FC236}">
              <a16:creationId xmlns:a16="http://schemas.microsoft.com/office/drawing/2014/main" id="{F5141AAD-CC14-269F-457B-930A8B7FAC4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49698" y="979078"/>
          <a:ext cx="359946" cy="351141"/>
        </a:xfrm>
        <a:prstGeom prst="rect">
          <a:avLst/>
        </a:prstGeom>
      </xdr:spPr>
    </xdr:pic>
    <xdr:clientData/>
  </xdr:twoCellAnchor>
  <xdr:twoCellAnchor editAs="oneCell">
    <xdr:from>
      <xdr:col>0</xdr:col>
      <xdr:colOff>108057</xdr:colOff>
      <xdr:row>4</xdr:row>
      <xdr:rowOff>159205</xdr:rowOff>
    </xdr:from>
    <xdr:to>
      <xdr:col>0</xdr:col>
      <xdr:colOff>504197</xdr:colOff>
      <xdr:row>7</xdr:row>
      <xdr:rowOff>68357</xdr:rowOff>
    </xdr:to>
    <xdr:pic>
      <xdr:nvPicPr>
        <xdr:cNvPr id="4100" name="Graphic 4099" descr="Bank with solid fill">
          <a:extLst>
            <a:ext uri="{FF2B5EF4-FFF2-40B4-BE49-F238E27FC236}">
              <a16:creationId xmlns:a16="http://schemas.microsoft.com/office/drawing/2014/main" id="{5051BF6C-4581-4AD4-8C13-38E722DC805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057" y="876381"/>
          <a:ext cx="396140" cy="447035"/>
        </a:xfrm>
        <a:prstGeom prst="rect">
          <a:avLst/>
        </a:prstGeom>
      </xdr:spPr>
    </xdr:pic>
    <xdr:clientData/>
  </xdr:twoCellAnchor>
  <xdr:twoCellAnchor editAs="oneCell">
    <xdr:from>
      <xdr:col>11</xdr:col>
      <xdr:colOff>301116</xdr:colOff>
      <xdr:row>4</xdr:row>
      <xdr:rowOff>176892</xdr:rowOff>
    </xdr:from>
    <xdr:to>
      <xdr:col>12</xdr:col>
      <xdr:colOff>38499</xdr:colOff>
      <xdr:row>6</xdr:row>
      <xdr:rowOff>156482</xdr:rowOff>
    </xdr:to>
    <xdr:pic>
      <xdr:nvPicPr>
        <xdr:cNvPr id="4104" name="Graphic 4103" descr="Clipboard with solid fill">
          <a:extLst>
            <a:ext uri="{FF2B5EF4-FFF2-40B4-BE49-F238E27FC236}">
              <a16:creationId xmlns:a16="http://schemas.microsoft.com/office/drawing/2014/main" id="{DF642C4E-065A-323A-A503-A368D2739D6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06716" y="894068"/>
          <a:ext cx="346983" cy="338179"/>
        </a:xfrm>
        <a:prstGeom prst="rect">
          <a:avLst/>
        </a:prstGeom>
      </xdr:spPr>
    </xdr:pic>
    <xdr:clientData/>
  </xdr:twoCellAnchor>
  <xdr:twoCellAnchor editAs="oneCell">
    <xdr:from>
      <xdr:col>18</xdr:col>
      <xdr:colOff>354023</xdr:colOff>
      <xdr:row>10</xdr:row>
      <xdr:rowOff>123024</xdr:rowOff>
    </xdr:from>
    <xdr:to>
      <xdr:col>20</xdr:col>
      <xdr:colOff>496342</xdr:colOff>
      <xdr:row>15</xdr:row>
      <xdr:rowOff>15448</xdr:rowOff>
    </xdr:to>
    <mc:AlternateContent xmlns:mc="http://schemas.openxmlformats.org/markup-compatibility/2006" xmlns:a14="http://schemas.microsoft.com/office/drawing/2010/main">
      <mc:Choice Requires="a14">
        <xdr:graphicFrame macro="">
          <xdr:nvGraphicFramePr>
            <xdr:cNvPr id="4121" name="Department 1">
              <a:extLst>
                <a:ext uri="{FF2B5EF4-FFF2-40B4-BE49-F238E27FC236}">
                  <a16:creationId xmlns:a16="http://schemas.microsoft.com/office/drawing/2014/main" id="{19CE777B-692B-454D-AFC8-776DDE25F37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375809" y="1959988"/>
              <a:ext cx="1366962" cy="810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368719</xdr:colOff>
      <xdr:row>5</xdr:row>
      <xdr:rowOff>150000</xdr:rowOff>
    </xdr:from>
    <xdr:to>
      <xdr:col>20</xdr:col>
      <xdr:colOff>498506</xdr:colOff>
      <xdr:row>10</xdr:row>
      <xdr:rowOff>80683</xdr:rowOff>
    </xdr:to>
    <mc:AlternateContent xmlns:mc="http://schemas.openxmlformats.org/markup-compatibility/2006" xmlns:a14="http://schemas.microsoft.com/office/drawing/2010/main">
      <mc:Choice Requires="a14">
        <xdr:graphicFrame macro="">
          <xdr:nvGraphicFramePr>
            <xdr:cNvPr id="4122" name="Category 1">
              <a:extLst>
                <a:ext uri="{FF2B5EF4-FFF2-40B4-BE49-F238E27FC236}">
                  <a16:creationId xmlns:a16="http://schemas.microsoft.com/office/drawing/2014/main" id="{9D5ABDAD-2D18-4AB7-874A-941EC62DB35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390505" y="1068482"/>
              <a:ext cx="1354430" cy="849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370192</xdr:colOff>
      <xdr:row>24</xdr:row>
      <xdr:rowOff>176571</xdr:rowOff>
    </xdr:from>
    <xdr:to>
      <xdr:col>20</xdr:col>
      <xdr:colOff>509948</xdr:colOff>
      <xdr:row>29</xdr:row>
      <xdr:rowOff>81644</xdr:rowOff>
    </xdr:to>
    <mc:AlternateContent xmlns:mc="http://schemas.openxmlformats.org/markup-compatibility/2006" xmlns:a14="http://schemas.microsoft.com/office/drawing/2010/main">
      <mc:Choice Requires="a14">
        <xdr:graphicFrame macro="">
          <xdr:nvGraphicFramePr>
            <xdr:cNvPr id="4124" name="Payment Status 1">
              <a:extLst>
                <a:ext uri="{FF2B5EF4-FFF2-40B4-BE49-F238E27FC236}">
                  <a16:creationId xmlns:a16="http://schemas.microsoft.com/office/drawing/2014/main" id="{FFA951EA-EA85-47AA-8F5A-64D3F80F90FE}"/>
                </a:ext>
              </a:extLst>
            </xdr:cNvPr>
            <xdr:cNvGraphicFramePr/>
          </xdr:nvGraphicFramePr>
          <xdr:xfrm>
            <a:off x="0" y="0"/>
            <a:ext cx="0" cy="0"/>
          </xdr:xfrm>
          <a:graphic>
            <a:graphicData uri="http://schemas.microsoft.com/office/drawing/2010/slicer">
              <sle:slicer xmlns:sle="http://schemas.microsoft.com/office/drawing/2010/slicer" name="Payment Status 1"/>
            </a:graphicData>
          </a:graphic>
        </xdr:graphicFrame>
      </mc:Choice>
      <mc:Fallback xmlns="">
        <xdr:sp macro="" textlink="">
          <xdr:nvSpPr>
            <xdr:cNvPr id="0" name=""/>
            <xdr:cNvSpPr>
              <a:spLocks noTextEdit="1"/>
            </xdr:cNvSpPr>
          </xdr:nvSpPr>
          <xdr:spPr>
            <a:xfrm>
              <a:off x="11391978" y="4585285"/>
              <a:ext cx="1364399" cy="823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354605</xdr:colOff>
      <xdr:row>29</xdr:row>
      <xdr:rowOff>131429</xdr:rowOff>
    </xdr:from>
    <xdr:to>
      <xdr:col>20</xdr:col>
      <xdr:colOff>507004</xdr:colOff>
      <xdr:row>34</xdr:row>
      <xdr:rowOff>81644</xdr:rowOff>
    </xdr:to>
    <mc:AlternateContent xmlns:mc="http://schemas.openxmlformats.org/markup-compatibility/2006" xmlns:a14="http://schemas.microsoft.com/office/drawing/2010/main">
      <mc:Choice Requires="a14">
        <xdr:graphicFrame macro="">
          <xdr:nvGraphicFramePr>
            <xdr:cNvPr id="4125" name="Currency 1">
              <a:extLst>
                <a:ext uri="{FF2B5EF4-FFF2-40B4-BE49-F238E27FC236}">
                  <a16:creationId xmlns:a16="http://schemas.microsoft.com/office/drawing/2014/main" id="{C7117F40-D6D8-49B5-867E-AE6DA4790C53}"/>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mlns="">
        <xdr:sp macro="" textlink="">
          <xdr:nvSpPr>
            <xdr:cNvPr id="0" name=""/>
            <xdr:cNvSpPr>
              <a:spLocks noTextEdit="1"/>
            </xdr:cNvSpPr>
          </xdr:nvSpPr>
          <xdr:spPr>
            <a:xfrm>
              <a:off x="11376391" y="5458625"/>
              <a:ext cx="1377042" cy="868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372756</xdr:colOff>
      <xdr:row>20</xdr:row>
      <xdr:rowOff>25293</xdr:rowOff>
    </xdr:from>
    <xdr:to>
      <xdr:col>20</xdr:col>
      <xdr:colOff>518353</xdr:colOff>
      <xdr:row>24</xdr:row>
      <xdr:rowOff>136073</xdr:rowOff>
    </xdr:to>
    <mc:AlternateContent xmlns:mc="http://schemas.openxmlformats.org/markup-compatibility/2006" xmlns:a14="http://schemas.microsoft.com/office/drawing/2010/main">
      <mc:Choice Requires="a14">
        <xdr:graphicFrame macro="">
          <xdr:nvGraphicFramePr>
            <xdr:cNvPr id="4126" name="Country 1">
              <a:extLst>
                <a:ext uri="{FF2B5EF4-FFF2-40B4-BE49-F238E27FC236}">
                  <a16:creationId xmlns:a16="http://schemas.microsoft.com/office/drawing/2014/main" id="{23BBDA85-E56F-4560-8D3F-81FB21AE3F1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394542" y="3699222"/>
              <a:ext cx="1370240" cy="845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106822</xdr:colOff>
      <xdr:row>8</xdr:row>
      <xdr:rowOff>95250</xdr:rowOff>
    </xdr:from>
    <xdr:to>
      <xdr:col>13</xdr:col>
      <xdr:colOff>578303</xdr:colOff>
      <xdr:row>20</xdr:row>
      <xdr:rowOff>81642</xdr:rowOff>
    </xdr:to>
    <xdr:sp macro="" textlink="">
      <xdr:nvSpPr>
        <xdr:cNvPr id="4131" name="Rectangle: Rounded Corners 4130">
          <a:extLst>
            <a:ext uri="{FF2B5EF4-FFF2-40B4-BE49-F238E27FC236}">
              <a16:creationId xmlns:a16="http://schemas.microsoft.com/office/drawing/2014/main" id="{3546D9B6-F85B-41AB-A1E8-CD739210AA86}"/>
            </a:ext>
          </a:extLst>
        </xdr:cNvPr>
        <xdr:cNvSpPr/>
      </xdr:nvSpPr>
      <xdr:spPr>
        <a:xfrm>
          <a:off x="6230036" y="1564821"/>
          <a:ext cx="2308446" cy="2190750"/>
        </a:xfrm>
        <a:prstGeom prst="roundRect">
          <a:avLst>
            <a:gd name="adj" fmla="val 566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89326</xdr:colOff>
      <xdr:row>8</xdr:row>
      <xdr:rowOff>111335</xdr:rowOff>
    </xdr:from>
    <xdr:to>
      <xdr:col>5</xdr:col>
      <xdr:colOff>425423</xdr:colOff>
      <xdr:row>22</xdr:row>
      <xdr:rowOff>132069</xdr:rowOff>
    </xdr:to>
    <xdr:sp macro="" textlink="">
      <xdr:nvSpPr>
        <xdr:cNvPr id="4132" name="Rectangle: Rounded Corners 4131">
          <a:extLst>
            <a:ext uri="{FF2B5EF4-FFF2-40B4-BE49-F238E27FC236}">
              <a16:creationId xmlns:a16="http://schemas.microsoft.com/office/drawing/2014/main" id="{B2E5BA7F-2473-4F40-AF03-F2A4D5DC127D}"/>
            </a:ext>
          </a:extLst>
        </xdr:cNvPr>
        <xdr:cNvSpPr/>
      </xdr:nvSpPr>
      <xdr:spPr>
        <a:xfrm>
          <a:off x="89326" y="1580906"/>
          <a:ext cx="3397704" cy="2592484"/>
        </a:xfrm>
        <a:prstGeom prst="roundRect">
          <a:avLst>
            <a:gd name="adj" fmla="val 566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152639</xdr:colOff>
      <xdr:row>9</xdr:row>
      <xdr:rowOff>39618</xdr:rowOff>
    </xdr:from>
    <xdr:to>
      <xdr:col>5</xdr:col>
      <xdr:colOff>279186</xdr:colOff>
      <xdr:row>22</xdr:row>
      <xdr:rowOff>60352</xdr:rowOff>
    </xdr:to>
    <xdr:graphicFrame macro="">
      <xdr:nvGraphicFramePr>
        <xdr:cNvPr id="4133" name="Chart 4132">
          <a:extLst>
            <a:ext uri="{FF2B5EF4-FFF2-40B4-BE49-F238E27FC236}">
              <a16:creationId xmlns:a16="http://schemas.microsoft.com/office/drawing/2014/main" id="{80353E87-8C33-42E5-AD98-F6B8C54C4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134470</xdr:colOff>
      <xdr:row>8</xdr:row>
      <xdr:rowOff>161364</xdr:rowOff>
    </xdr:from>
    <xdr:to>
      <xdr:col>13</xdr:col>
      <xdr:colOff>555811</xdr:colOff>
      <xdr:row>19</xdr:row>
      <xdr:rowOff>152400</xdr:rowOff>
    </xdr:to>
    <xdr:graphicFrame macro="">
      <xdr:nvGraphicFramePr>
        <xdr:cNvPr id="4137" name="Chart 4136">
          <a:extLst>
            <a:ext uri="{FF2B5EF4-FFF2-40B4-BE49-F238E27FC236}">
              <a16:creationId xmlns:a16="http://schemas.microsoft.com/office/drawing/2014/main" id="{4392C850-29F3-48E4-BA42-3201D7AE4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598714</xdr:colOff>
      <xdr:row>4</xdr:row>
      <xdr:rowOff>61232</xdr:rowOff>
    </xdr:from>
    <xdr:to>
      <xdr:col>18</xdr:col>
      <xdr:colOff>263495</xdr:colOff>
      <xdr:row>20</xdr:row>
      <xdr:rowOff>68035</xdr:rowOff>
    </xdr:to>
    <xdr:sp macro="" textlink="">
      <xdr:nvSpPr>
        <xdr:cNvPr id="4138" name="Rectangle: Rounded Corners 4137">
          <a:extLst>
            <a:ext uri="{FF2B5EF4-FFF2-40B4-BE49-F238E27FC236}">
              <a16:creationId xmlns:a16="http://schemas.microsoft.com/office/drawing/2014/main" id="{B37DBF9E-2DAA-4E60-B225-543B610656B6}"/>
            </a:ext>
          </a:extLst>
        </xdr:cNvPr>
        <xdr:cNvSpPr/>
      </xdr:nvSpPr>
      <xdr:spPr>
        <a:xfrm>
          <a:off x="8558893" y="796018"/>
          <a:ext cx="2726388" cy="2945946"/>
        </a:xfrm>
        <a:prstGeom prst="roundRect">
          <a:avLst>
            <a:gd name="adj" fmla="val 566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48666</xdr:colOff>
      <xdr:row>4</xdr:row>
      <xdr:rowOff>144714</xdr:rowOff>
    </xdr:from>
    <xdr:to>
      <xdr:col>18</xdr:col>
      <xdr:colOff>139661</xdr:colOff>
      <xdr:row>20</xdr:row>
      <xdr:rowOff>26895</xdr:rowOff>
    </xdr:to>
    <xdr:graphicFrame macro="">
      <xdr:nvGraphicFramePr>
        <xdr:cNvPr id="4" name="Chart 3">
          <a:extLst>
            <a:ext uri="{FF2B5EF4-FFF2-40B4-BE49-F238E27FC236}">
              <a16:creationId xmlns:a16="http://schemas.microsoft.com/office/drawing/2014/main" id="{B3319E2E-A891-4CF0-8761-97AF3B67C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430304</xdr:colOff>
      <xdr:row>20</xdr:row>
      <xdr:rowOff>93081</xdr:rowOff>
    </xdr:from>
    <xdr:to>
      <xdr:col>11</xdr:col>
      <xdr:colOff>8963</xdr:colOff>
      <xdr:row>34</xdr:row>
      <xdr:rowOff>173765</xdr:rowOff>
    </xdr:to>
    <xdr:sp macro="" textlink="">
      <xdr:nvSpPr>
        <xdr:cNvPr id="8" name="Rectangle: Rounded Corners 7">
          <a:extLst>
            <a:ext uri="{FF2B5EF4-FFF2-40B4-BE49-F238E27FC236}">
              <a16:creationId xmlns:a16="http://schemas.microsoft.com/office/drawing/2014/main" id="{7D9071B2-0EA8-4404-9970-46D2566F83EA}"/>
            </a:ext>
          </a:extLst>
        </xdr:cNvPr>
        <xdr:cNvSpPr/>
      </xdr:nvSpPr>
      <xdr:spPr>
        <a:xfrm>
          <a:off x="3492547" y="3796259"/>
          <a:ext cx="3253351" cy="2672908"/>
        </a:xfrm>
        <a:prstGeom prst="roundRect">
          <a:avLst>
            <a:gd name="adj" fmla="val 566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430306</xdr:colOff>
      <xdr:row>8</xdr:row>
      <xdr:rowOff>98612</xdr:rowOff>
    </xdr:from>
    <xdr:to>
      <xdr:col>10</xdr:col>
      <xdr:colOff>88766</xdr:colOff>
      <xdr:row>20</xdr:row>
      <xdr:rowOff>64093</xdr:rowOff>
    </xdr:to>
    <xdr:sp macro="" textlink="">
      <xdr:nvSpPr>
        <xdr:cNvPr id="16" name="Rectangle: Rounded Corners 15">
          <a:extLst>
            <a:ext uri="{FF2B5EF4-FFF2-40B4-BE49-F238E27FC236}">
              <a16:creationId xmlns:a16="http://schemas.microsoft.com/office/drawing/2014/main" id="{25804129-ED68-4818-B34D-DCCD67E3E9B0}"/>
            </a:ext>
          </a:extLst>
        </xdr:cNvPr>
        <xdr:cNvSpPr/>
      </xdr:nvSpPr>
      <xdr:spPr>
        <a:xfrm>
          <a:off x="3492549" y="1579883"/>
          <a:ext cx="2720703" cy="2187388"/>
        </a:xfrm>
        <a:prstGeom prst="roundRect">
          <a:avLst>
            <a:gd name="adj" fmla="val 566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76358</xdr:colOff>
      <xdr:row>22</xdr:row>
      <xdr:rowOff>147757</xdr:rowOff>
    </xdr:from>
    <xdr:to>
      <xdr:col>5</xdr:col>
      <xdr:colOff>408053</xdr:colOff>
      <xdr:row>34</xdr:row>
      <xdr:rowOff>147758</xdr:rowOff>
    </xdr:to>
    <xdr:sp macro="" textlink="">
      <xdr:nvSpPr>
        <xdr:cNvPr id="17" name="Rectangle: Rounded Corners 16">
          <a:extLst>
            <a:ext uri="{FF2B5EF4-FFF2-40B4-BE49-F238E27FC236}">
              <a16:creationId xmlns:a16="http://schemas.microsoft.com/office/drawing/2014/main" id="{D2B4A4BD-758D-4DA6-812E-B403DF85449C}"/>
            </a:ext>
          </a:extLst>
        </xdr:cNvPr>
        <xdr:cNvSpPr/>
      </xdr:nvSpPr>
      <xdr:spPr>
        <a:xfrm>
          <a:off x="76358" y="4189078"/>
          <a:ext cx="3393302" cy="2204359"/>
        </a:xfrm>
        <a:prstGeom prst="roundRect">
          <a:avLst>
            <a:gd name="adj" fmla="val 566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35859</xdr:colOff>
      <xdr:row>20</xdr:row>
      <xdr:rowOff>98613</xdr:rowOff>
    </xdr:from>
    <xdr:to>
      <xdr:col>18</xdr:col>
      <xdr:colOff>268941</xdr:colOff>
      <xdr:row>35</xdr:row>
      <xdr:rowOff>3</xdr:rowOff>
    </xdr:to>
    <xdr:sp macro="" textlink="">
      <xdr:nvSpPr>
        <xdr:cNvPr id="21" name="Rectangle: Rounded Corners 20">
          <a:extLst>
            <a:ext uri="{FF2B5EF4-FFF2-40B4-BE49-F238E27FC236}">
              <a16:creationId xmlns:a16="http://schemas.microsoft.com/office/drawing/2014/main" id="{757B6E99-7B1F-461B-A9FA-315BB53D46DD}"/>
            </a:ext>
          </a:extLst>
        </xdr:cNvPr>
        <xdr:cNvSpPr/>
      </xdr:nvSpPr>
      <xdr:spPr>
        <a:xfrm>
          <a:off x="6771395" y="3772542"/>
          <a:ext cx="4519332" cy="2656836"/>
        </a:xfrm>
        <a:prstGeom prst="roundRect">
          <a:avLst>
            <a:gd name="adj" fmla="val 566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411253</xdr:colOff>
      <xdr:row>20</xdr:row>
      <xdr:rowOff>152400</xdr:rowOff>
    </xdr:from>
    <xdr:to>
      <xdr:col>10</xdr:col>
      <xdr:colOff>599514</xdr:colOff>
      <xdr:row>34</xdr:row>
      <xdr:rowOff>53787</xdr:rowOff>
    </xdr:to>
    <xdr:graphicFrame macro="">
      <xdr:nvGraphicFramePr>
        <xdr:cNvPr id="22" name="Chart 21">
          <a:extLst>
            <a:ext uri="{FF2B5EF4-FFF2-40B4-BE49-F238E27FC236}">
              <a16:creationId xmlns:a16="http://schemas.microsoft.com/office/drawing/2014/main" id="{DE7D09CA-7ABD-460C-9B5E-52C0DDB81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71718</xdr:colOff>
      <xdr:row>20</xdr:row>
      <xdr:rowOff>170329</xdr:rowOff>
    </xdr:from>
    <xdr:to>
      <xdr:col>18</xdr:col>
      <xdr:colOff>152400</xdr:colOff>
      <xdr:row>34</xdr:row>
      <xdr:rowOff>98610</xdr:rowOff>
    </xdr:to>
    <xdr:graphicFrame macro="">
      <xdr:nvGraphicFramePr>
        <xdr:cNvPr id="23" name="Chart 22">
          <a:extLst>
            <a:ext uri="{FF2B5EF4-FFF2-40B4-BE49-F238E27FC236}">
              <a16:creationId xmlns:a16="http://schemas.microsoft.com/office/drawing/2014/main" id="{FBE5C0E9-1651-433A-AE27-D45611D97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457199</xdr:colOff>
      <xdr:row>8</xdr:row>
      <xdr:rowOff>161365</xdr:rowOff>
    </xdr:from>
    <xdr:to>
      <xdr:col>10</xdr:col>
      <xdr:colOff>62752</xdr:colOff>
      <xdr:row>19</xdr:row>
      <xdr:rowOff>170330</xdr:rowOff>
    </xdr:to>
    <xdr:graphicFrame macro="">
      <xdr:nvGraphicFramePr>
        <xdr:cNvPr id="27" name="Chart 26">
          <a:extLst>
            <a:ext uri="{FF2B5EF4-FFF2-40B4-BE49-F238E27FC236}">
              <a16:creationId xmlns:a16="http://schemas.microsoft.com/office/drawing/2014/main" id="{3A55A29D-826B-4841-A37A-F9B75A694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137431</xdr:colOff>
      <xdr:row>23</xdr:row>
      <xdr:rowOff>13607</xdr:rowOff>
    </xdr:from>
    <xdr:to>
      <xdr:col>5</xdr:col>
      <xdr:colOff>367394</xdr:colOff>
      <xdr:row>34</xdr:row>
      <xdr:rowOff>108857</xdr:rowOff>
    </xdr:to>
    <xdr:graphicFrame macro="">
      <xdr:nvGraphicFramePr>
        <xdr:cNvPr id="29" name="Chart 28">
          <a:extLst>
            <a:ext uri="{FF2B5EF4-FFF2-40B4-BE49-F238E27FC236}">
              <a16:creationId xmlns:a16="http://schemas.microsoft.com/office/drawing/2014/main" id="{AEC10432-629C-46DC-B8A1-DE154C962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18</xdr:col>
      <xdr:colOff>373876</xdr:colOff>
      <xdr:row>15</xdr:row>
      <xdr:rowOff>68037</xdr:rowOff>
    </xdr:from>
    <xdr:to>
      <xdr:col>20</xdr:col>
      <xdr:colOff>516750</xdr:colOff>
      <xdr:row>19</xdr:row>
      <xdr:rowOff>170091</xdr:rowOff>
    </xdr:to>
    <mc:AlternateContent xmlns:mc="http://schemas.openxmlformats.org/markup-compatibility/2006" xmlns:a14="http://schemas.microsoft.com/office/drawing/2010/main">
      <mc:Choice Requires="a14">
        <xdr:graphicFrame macro="">
          <xdr:nvGraphicFramePr>
            <xdr:cNvPr id="6" name="Vendor Name 1">
              <a:extLst>
                <a:ext uri="{FF2B5EF4-FFF2-40B4-BE49-F238E27FC236}">
                  <a16:creationId xmlns:a16="http://schemas.microsoft.com/office/drawing/2014/main" id="{4A5A8E52-3EB7-48E7-B89F-73A0FFC3DB89}"/>
                </a:ext>
              </a:extLst>
            </xdr:cNvPr>
            <xdr:cNvGraphicFramePr/>
          </xdr:nvGraphicFramePr>
          <xdr:xfrm>
            <a:off x="0" y="0"/>
            <a:ext cx="0" cy="0"/>
          </xdr:xfrm>
          <a:graphic>
            <a:graphicData uri="http://schemas.microsoft.com/office/drawing/2010/slicer">
              <sle:slicer xmlns:sle="http://schemas.microsoft.com/office/drawing/2010/slicer" name="Vendor Name 1"/>
            </a:graphicData>
          </a:graphic>
        </xdr:graphicFrame>
      </mc:Choice>
      <mc:Fallback xmlns="">
        <xdr:sp macro="" textlink="">
          <xdr:nvSpPr>
            <xdr:cNvPr id="0" name=""/>
            <xdr:cNvSpPr>
              <a:spLocks noTextEdit="1"/>
            </xdr:cNvSpPr>
          </xdr:nvSpPr>
          <xdr:spPr>
            <a:xfrm>
              <a:off x="11395662" y="2823483"/>
              <a:ext cx="1367517" cy="83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374196</xdr:colOff>
      <xdr:row>4</xdr:row>
      <xdr:rowOff>122464</xdr:rowOff>
    </xdr:from>
    <xdr:to>
      <xdr:col>20</xdr:col>
      <xdr:colOff>483053</xdr:colOff>
      <xdr:row>5</xdr:row>
      <xdr:rowOff>156482</xdr:rowOff>
    </xdr:to>
    <xdr:sp macro="" textlink="">
      <xdr:nvSpPr>
        <xdr:cNvPr id="7" name="TextBox 6">
          <a:extLst>
            <a:ext uri="{FF2B5EF4-FFF2-40B4-BE49-F238E27FC236}">
              <a16:creationId xmlns:a16="http://schemas.microsoft.com/office/drawing/2014/main" id="{89A8DB6F-398E-5DA8-4454-6A4E62EB2704}"/>
            </a:ext>
          </a:extLst>
        </xdr:cNvPr>
        <xdr:cNvSpPr txBox="1"/>
      </xdr:nvSpPr>
      <xdr:spPr>
        <a:xfrm>
          <a:off x="11395982" y="857250"/>
          <a:ext cx="133350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Slicer</a:t>
          </a:r>
          <a:endParaRPr lang="en-US" sz="1100" b="1">
            <a:solidFill>
              <a:schemeClr val="bg1"/>
            </a:solidFill>
          </a:endParaRPr>
        </a:p>
      </xdr:txBody>
    </xdr:sp>
    <xdr:clientData/>
  </xdr:twoCellAnchor>
  <xdr:twoCellAnchor>
    <xdr:from>
      <xdr:col>0</xdr:col>
      <xdr:colOff>555812</xdr:colOff>
      <xdr:row>1</xdr:row>
      <xdr:rowOff>8965</xdr:rowOff>
    </xdr:from>
    <xdr:to>
      <xdr:col>19</xdr:col>
      <xdr:colOff>591671</xdr:colOff>
      <xdr:row>3</xdr:row>
      <xdr:rowOff>134471</xdr:rowOff>
    </xdr:to>
    <xdr:sp macro="" textlink="">
      <xdr:nvSpPr>
        <xdr:cNvPr id="30" name="TextBox 29">
          <a:extLst>
            <a:ext uri="{FF2B5EF4-FFF2-40B4-BE49-F238E27FC236}">
              <a16:creationId xmlns:a16="http://schemas.microsoft.com/office/drawing/2014/main" id="{41FDEEEA-62B2-46EB-8196-38E72DEA6667}"/>
            </a:ext>
          </a:extLst>
        </xdr:cNvPr>
        <xdr:cNvSpPr txBox="1"/>
      </xdr:nvSpPr>
      <xdr:spPr>
        <a:xfrm>
          <a:off x="555812" y="188259"/>
          <a:ext cx="11618259" cy="484094"/>
        </a:xfrm>
        <a:prstGeom prst="rect">
          <a:avLst/>
        </a:prstGeom>
        <a:noFill/>
        <a:ln w="9525" cmpd="sng">
          <a:noFill/>
        </a:ln>
        <a:effectLst>
          <a:outerShdw blurRad="63500" dist="50800" dir="5400000" algn="ctr" rotWithShape="0">
            <a:srgbClr val="000000">
              <a:alpha val="6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AP INVOICE ANALYTICS</a:t>
          </a:r>
          <a:r>
            <a:rPr lang="en-US" sz="3600" b="1" baseline="0">
              <a:solidFill>
                <a:schemeClr val="bg1"/>
              </a:solidFill>
            </a:rPr>
            <a:t> DASHBOARD</a:t>
          </a:r>
          <a:endParaRPr lang="en-US" sz="36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129540</xdr:colOff>
      <xdr:row>21</xdr:row>
      <xdr:rowOff>175260</xdr:rowOff>
    </xdr:from>
    <xdr:to>
      <xdr:col>1</xdr:col>
      <xdr:colOff>213360</xdr:colOff>
      <xdr:row>35</xdr:row>
      <xdr:rowOff>81915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89FA2FE-BA87-ED1B-2936-7EFB641DFF2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9540" y="4389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350520</xdr:colOff>
      <xdr:row>22</xdr:row>
      <xdr:rowOff>30480</xdr:rowOff>
    </xdr:from>
    <xdr:to>
      <xdr:col>7</xdr:col>
      <xdr:colOff>929640</xdr:colOff>
      <xdr:row>35</xdr:row>
      <xdr:rowOff>120015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D099B63F-8A58-DF99-219D-8D8B596D24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31280" y="4427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434340</xdr:colOff>
      <xdr:row>22</xdr:row>
      <xdr:rowOff>22860</xdr:rowOff>
    </xdr:from>
    <xdr:to>
      <xdr:col>3</xdr:col>
      <xdr:colOff>556260</xdr:colOff>
      <xdr:row>35</xdr:row>
      <xdr:rowOff>112395</xdr:rowOff>
    </xdr:to>
    <mc:AlternateContent xmlns:mc="http://schemas.openxmlformats.org/markup-compatibility/2006" xmlns:a14="http://schemas.microsoft.com/office/drawing/2010/main">
      <mc:Choice Requires="a14">
        <xdr:graphicFrame macro="">
          <xdr:nvGraphicFramePr>
            <xdr:cNvPr id="4" name="Vendor Name">
              <a:extLst>
                <a:ext uri="{FF2B5EF4-FFF2-40B4-BE49-F238E27FC236}">
                  <a16:creationId xmlns:a16="http://schemas.microsoft.com/office/drawing/2014/main" id="{B12EC02E-20A2-61CF-6D14-ED614BBB0355}"/>
                </a:ext>
              </a:extLst>
            </xdr:cNvPr>
            <xdr:cNvGraphicFramePr/>
          </xdr:nvGraphicFramePr>
          <xdr:xfrm>
            <a:off x="0" y="0"/>
            <a:ext cx="0" cy="0"/>
          </xdr:xfrm>
          <a:graphic>
            <a:graphicData uri="http://schemas.microsoft.com/office/drawing/2010/slicer">
              <sle:slicer xmlns:sle="http://schemas.microsoft.com/office/drawing/2010/slicer" name="Vendor Name"/>
            </a:graphicData>
          </a:graphic>
        </xdr:graphicFrame>
      </mc:Choice>
      <mc:Fallback xmlns="">
        <xdr:sp macro="" textlink="">
          <xdr:nvSpPr>
            <xdr:cNvPr id="0" name=""/>
            <xdr:cNvSpPr>
              <a:spLocks noTextEdit="1"/>
            </xdr:cNvSpPr>
          </xdr:nvSpPr>
          <xdr:spPr>
            <a:xfrm>
              <a:off x="2179320" y="4419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22</xdr:row>
      <xdr:rowOff>53340</xdr:rowOff>
    </xdr:from>
    <xdr:to>
      <xdr:col>5</xdr:col>
      <xdr:colOff>236220</xdr:colOff>
      <xdr:row>35</xdr:row>
      <xdr:rowOff>142875</xdr:rowOff>
    </xdr:to>
    <mc:AlternateContent xmlns:mc="http://schemas.openxmlformats.org/markup-compatibility/2006" xmlns:a14="http://schemas.microsoft.com/office/drawing/2010/main">
      <mc:Choice Requires="a14">
        <xdr:graphicFrame macro="">
          <xdr:nvGraphicFramePr>
            <xdr:cNvPr id="5" name="Payment Status">
              <a:extLst>
                <a:ext uri="{FF2B5EF4-FFF2-40B4-BE49-F238E27FC236}">
                  <a16:creationId xmlns:a16="http://schemas.microsoft.com/office/drawing/2014/main" id="{83141690-567C-106C-2CE0-8C4AE7B09181}"/>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4175760" y="4450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1264920</xdr:colOff>
      <xdr:row>22</xdr:row>
      <xdr:rowOff>15240</xdr:rowOff>
    </xdr:from>
    <xdr:to>
      <xdr:col>10</xdr:col>
      <xdr:colOff>205740</xdr:colOff>
      <xdr:row>35</xdr:row>
      <xdr:rowOff>104775</xdr:rowOff>
    </xdr:to>
    <mc:AlternateContent xmlns:mc="http://schemas.openxmlformats.org/markup-compatibility/2006" xmlns:a14="http://schemas.microsoft.com/office/drawing/2010/main">
      <mc:Choice Requires="a14">
        <xdr:graphicFrame macro="">
          <xdr:nvGraphicFramePr>
            <xdr:cNvPr id="8" name="Currency">
              <a:extLst>
                <a:ext uri="{FF2B5EF4-FFF2-40B4-BE49-F238E27FC236}">
                  <a16:creationId xmlns:a16="http://schemas.microsoft.com/office/drawing/2014/main" id="{FAB22339-D9C4-4F8B-EE04-70C7B55EF583}"/>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8595360" y="4411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982980</xdr:colOff>
      <xdr:row>22</xdr:row>
      <xdr:rowOff>30480</xdr:rowOff>
    </xdr:from>
    <xdr:to>
      <xdr:col>12</xdr:col>
      <xdr:colOff>53340</xdr:colOff>
      <xdr:row>35</xdr:row>
      <xdr:rowOff>120015</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B944139B-8E15-E479-5F7B-2BA6A642F21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866120" y="4427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uma" refreshedDate="46294.444563657409" createdVersion="8" refreshedVersion="8" minRefreshableVersion="3" recordCount="443" xr:uid="{4F7C552E-ABA4-44B6-9501-114EEAD7859D}">
  <cacheSource type="worksheet">
    <worksheetSource name="Table3"/>
  </cacheSource>
  <cacheFields count="18">
    <cacheField name="Invoice ID" numFmtId="49">
      <sharedItems count="443">
        <s v="INV-2024001"/>
        <s v="INV-2024002"/>
        <s v="INV-2024003"/>
        <s v="INV-2024004"/>
        <s v="INV-2024005"/>
        <s v="INV-2024006"/>
        <s v="INV-2024007"/>
        <s v="INV-2024008"/>
        <s v="INV-2024009"/>
        <s v="INV-2024010"/>
        <s v="INV-2024011"/>
        <s v="INV-2024012"/>
        <s v="INV-2024013"/>
        <s v="INV-2024014"/>
        <s v="INV-2024015"/>
        <s v="INV-2024016"/>
        <s v="INV-2024017"/>
        <s v="INV-ABC2024018"/>
        <s v="INV-2024018"/>
        <s v="INV-2024019"/>
        <s v="INV-2024020"/>
        <s v="INV-2024021"/>
        <s v="INV-2024022"/>
        <s v="INV-ABC2024023"/>
        <s v="INV-2024023"/>
        <s v="INV-2024024"/>
        <s v="INV-2024026"/>
        <s v="INV-2024027"/>
        <s v="INV-2024028"/>
        <s v="INV-2024029"/>
        <s v="INV-2024031"/>
        <s v="INV-ABC2024031"/>
        <s v="INV-2024032"/>
        <s v="INV-2024033"/>
        <s v="INV-2024034"/>
        <s v="INV-2024035"/>
        <s v="INV-2024036"/>
        <s v="INV-2024037"/>
        <s v="INV-2024038"/>
        <s v="INV-2024039"/>
        <s v="INV-2024040"/>
        <s v="INV-2024041"/>
        <s v="INV-2024042"/>
        <s v="INV-2024043"/>
        <s v="INV-2024044"/>
        <s v="INV-2024045"/>
        <s v="INV-2024046"/>
        <s v="INV-2024047"/>
        <s v="INV-2024048"/>
        <s v="INV-2024049"/>
        <s v="INV-2024050"/>
        <s v="INV-2024051"/>
        <s v="INV-2024052"/>
        <s v="INV-2024053"/>
        <s v="INV-2024055"/>
        <s v="INV-2024057"/>
        <s v="INV-2024058"/>
        <s v="INV-2024059"/>
        <s v="INV-2024060"/>
        <s v="INV-2024061"/>
        <s v="INV-2024062"/>
        <s v="INV-2024063"/>
        <s v="INV-2024064"/>
        <s v="INV-2024065"/>
        <s v="INV-2024066"/>
        <s v="INV-2024067"/>
        <s v="INV-2024068"/>
        <s v="INV-2024069"/>
        <s v="INV-2024071"/>
        <s v="INV-2024072"/>
        <s v="INV-2024073"/>
        <s v="INV-2024074"/>
        <s v="INV-2024075"/>
        <s v="INV-2024076"/>
        <s v="INV-2024077"/>
        <s v="INV-2024078"/>
        <s v="INV-2024079"/>
        <s v="INV-2024080"/>
        <s v="INV-2024081"/>
        <s v="INV-2024082"/>
        <s v="INV-2024083"/>
        <s v="INV-2024084"/>
        <s v="INV-2024085"/>
        <s v="INV-2024086"/>
        <s v="INV-2024087"/>
        <s v="INV-2024088"/>
        <s v="INV-2024089"/>
        <s v="INV-2024090"/>
        <s v="INV-2024091"/>
        <s v="INV-2024092"/>
        <s v="INV-2024093"/>
        <s v="INV-2024094"/>
        <s v="INV-2024095"/>
        <s v="INV-2024096"/>
        <s v="INV-2024097"/>
        <s v="INV-2024098"/>
        <s v="INV-2024099"/>
        <s v="INV-2024100"/>
        <s v="INV-2024101"/>
        <s v="INV-2024102"/>
        <s v="INV-2024103"/>
        <s v="INV-2024104"/>
        <s v="INV-2024105"/>
        <s v="INV-2024106"/>
        <s v="INV-2024107"/>
        <s v="INV-2024108"/>
        <s v="INV-2024109"/>
        <s v="INV-2024110"/>
        <s v="INV-ABC2024110"/>
        <s v="INV-2024111"/>
        <s v="INV-2024112"/>
        <s v="INV-2024113"/>
        <s v="INV-2024114"/>
        <s v="INV-2024115"/>
        <s v="INV-2024116"/>
        <s v="INV-2024117"/>
        <s v="INV-2024118"/>
        <s v="INV-2024119"/>
        <s v="INV-2024120"/>
        <s v="INV-2024121"/>
        <s v="INV-2024122"/>
        <s v="INV-2024123"/>
        <s v="INV-2024124"/>
        <s v="INV-2024125"/>
        <s v="INV-2024126"/>
        <s v="INV-2024127"/>
        <s v="INV-2024128"/>
        <s v="INV-2024129"/>
        <s v="INV-2024130"/>
        <s v="INV-2024131"/>
        <s v="INV-2024132"/>
        <s v="INV-2024133"/>
        <s v="INV-2024134"/>
        <s v="INV-2024135"/>
        <s v="INV-2024136"/>
        <s v="INV-2024137"/>
        <s v="INV-2024138"/>
        <s v="INV-2024139"/>
        <s v="INV-2024140"/>
        <s v="INV-2024141"/>
        <s v="INV-2024142"/>
        <s v="INV-2024143"/>
        <s v="INV-2024144"/>
        <s v="INV-2024145"/>
        <s v="INV-2024146"/>
        <s v="INV-2024147"/>
        <s v="INV-2024148"/>
        <s v="INV-2024149"/>
        <s v="INV-2024150"/>
        <s v="INV-2024151"/>
        <s v="INV-2024152"/>
        <s v="INV-2024153"/>
        <s v="INV-2024154"/>
        <s v="INV-2024155"/>
        <s v="INV-2024156"/>
        <s v="INV-2024157"/>
        <s v="INV-2024158"/>
        <s v="INV-2024159"/>
        <s v="INV-2024160"/>
        <s v="INV-2024161"/>
        <s v="INV-2024162"/>
        <s v="INV-2024163"/>
        <s v="INV-2024164"/>
        <s v="INV-2024165"/>
        <s v="INV-ABC2024165"/>
        <s v="INV-2024166"/>
        <s v="INV-2024167"/>
        <s v="INV-2024168"/>
        <s v="INV-2024169"/>
        <s v="INV-2024170"/>
        <s v="INV-2024171"/>
        <s v="INV-2024172"/>
        <s v="INV-2024173"/>
        <s v="INV-2024174"/>
        <s v="INV-2024175"/>
        <s v="INV-2024176"/>
        <s v="INV-2024177"/>
        <s v="INV-2024178"/>
        <s v="INV-2024179"/>
        <s v="INV-2024180"/>
        <s v="INV-2024181"/>
        <s v="INV-2024182"/>
        <s v="INV-2024183"/>
        <s v="INV-2024184"/>
        <s v="INV-2024185"/>
        <s v="INV-2024186"/>
        <s v="INV-2024187"/>
        <s v="INV-2024188"/>
        <s v="INV-2024189"/>
        <s v="INV-2024190"/>
        <s v="INV-2024191"/>
        <s v="INV-2024192"/>
        <s v="INV-2024193"/>
        <s v="INV-2024194"/>
        <s v="INV-2024195"/>
        <s v="INV-2024196"/>
        <s v="INV-2024197"/>
        <s v="INV-2024198"/>
        <s v="INV-2024199"/>
        <s v="INV-2024200"/>
        <s v="INV-2024201"/>
        <s v="INV-2024202"/>
        <s v="INV-2024203"/>
        <s v="INV-2024205"/>
        <s v="INV-2024206"/>
        <s v="INV-ABC2024206"/>
        <s v="INV-2024207"/>
        <s v="INV-2024208"/>
        <s v="INV-2024209"/>
        <s v="INV-2024210"/>
        <s v="INV-2024212"/>
        <s v="INV-2024213"/>
        <s v="INV-2024214"/>
        <s v="INV-2024215"/>
        <s v="INV-2024216"/>
        <s v="INV-2024217"/>
        <s v="INV-2024219"/>
        <s v="INV-2024220"/>
        <s v="INV-2024221"/>
        <s v="INV-2024223"/>
        <s v="INV-2024224"/>
        <s v="INV-2024225"/>
        <s v="INV-2024226"/>
        <s v="INV-2024228"/>
        <s v="INV-2024229"/>
        <s v="INV-2024230"/>
        <s v="INV-2024231"/>
        <s v="INV-2024232"/>
        <s v="INV-2024233"/>
        <s v="INV-2024234"/>
        <s v="INV-2024235"/>
        <s v="INV-2024236"/>
        <s v="INV-2024237"/>
        <s v="INV-2024238"/>
        <s v="INV-2024239"/>
        <s v="INV-2024240"/>
        <s v="INV-2024241"/>
        <s v="INV-2024242"/>
        <s v="INV-2024243"/>
        <s v="INV-2024244"/>
        <s v="INV-2024245"/>
        <s v="INV-2024246"/>
        <s v="INV-2024247"/>
        <s v="INV-2024248"/>
        <s v="INV-2024249"/>
        <s v="INV-2024250"/>
        <s v="INV-2024251"/>
        <s v="INV-2024252"/>
        <s v="INV-2024253"/>
        <s v="INV-2024254"/>
        <s v="INV-2024255"/>
        <s v="INV-2024256"/>
        <s v="INV-2024257"/>
        <s v="INV-2024258"/>
        <s v="INV-2024259"/>
        <s v="INV-2024260"/>
        <s v="INV-2024261"/>
        <s v="INV-2024262"/>
        <s v="INV-2024263"/>
        <s v="INV-2024264"/>
        <s v="INV-2024265"/>
        <s v="INV-2024266"/>
        <s v="INV-2024267"/>
        <s v="INV-2024268"/>
        <s v="INV-2024269"/>
        <s v="INV-2024270"/>
        <s v="INV-2024271"/>
        <s v="INV-2024272"/>
        <s v="INV-2024273"/>
        <s v="INV-2024274"/>
        <s v="INV-2024275"/>
        <s v="INV-2024276"/>
        <s v="INV-2024277"/>
        <s v="INV-2024278"/>
        <s v="INV-2024279"/>
        <s v="INV-2024280"/>
        <s v="INV-2024281"/>
        <s v="INV-2024282"/>
        <s v="INV-2024283"/>
        <s v="INV-2024284"/>
        <s v="INV-2024285"/>
        <s v="INV-2024286"/>
        <s v="INV-2024287"/>
        <s v="INV-2024288"/>
        <s v="INV-2024289"/>
        <s v="INV-2024290"/>
        <s v="INV-2024291"/>
        <s v="INV-2024292"/>
        <s v="INV-2024293"/>
        <s v="INV-2024294"/>
        <s v="INV-2024295"/>
        <s v="INV-2024296"/>
        <s v="INV-2024297"/>
        <s v="INV-2024298"/>
        <s v="INV-2024299"/>
        <s v="INV-2024300"/>
        <s v="INV-2024301"/>
        <s v="INV-2024303"/>
        <s v="INV-2024304"/>
        <s v="INV-2024306"/>
        <s v="INV-2024307"/>
        <s v="INV-2024308"/>
        <s v="INV-2024309"/>
        <s v="INV-2024310"/>
        <s v="INV-2024311"/>
        <s v="INV-2024312"/>
        <s v="INV-2024313"/>
        <s v="INV-2024314"/>
        <s v="INV-2024315"/>
        <s v="INV-2024316"/>
        <s v="INV-2024317"/>
        <s v="INV-2024318"/>
        <s v="INV-2024319"/>
        <s v="INV-2024320"/>
        <s v="INV-2024321"/>
        <s v="INV-2024322"/>
        <s v="INV-2024323"/>
        <s v="INV-2024324"/>
        <s v="INV-2024325"/>
        <s v="INV-2024326"/>
        <s v="INV-2024327"/>
        <s v="INV-2024328"/>
        <s v="INV-2024329"/>
        <s v="INV-2024330"/>
        <s v="INV-2024331"/>
        <s v="INV-2024332"/>
        <s v="INV-2024333"/>
        <s v="INV-2024335"/>
        <s v="INV-2024336"/>
        <s v="INV-2024337"/>
        <s v="INV-2024338"/>
        <s v="INV-2024339"/>
        <s v="INV-2024340"/>
        <s v="INV-2024341"/>
        <s v="INV-2024342"/>
        <s v="INV-2024343"/>
        <s v="INV-2024344"/>
        <s v="INV-2024345"/>
        <s v="INV-2024346"/>
        <s v="INV-2024347"/>
        <s v="INV-2024348"/>
        <s v="INV-2024349"/>
        <s v="INV-2024350"/>
        <s v="INV-2024351"/>
        <s v="INV-2024352"/>
        <s v="INV-2024353"/>
        <s v="INV-2024354"/>
        <s v="INV-2024355"/>
        <s v="INV-2024356"/>
        <s v="INV-2024357"/>
        <s v="INV-2024358"/>
        <s v="INV-2024359"/>
        <s v="INV-2024360"/>
        <s v="INV-2024362"/>
        <s v="INV-2024363"/>
        <s v="INV-2024364"/>
        <s v="INV-2024365"/>
        <s v="INV-2024366"/>
        <s v="INV-2024367"/>
        <s v="INV-2024368"/>
        <s v="INV-2024369"/>
        <s v="INV-ABC2024369"/>
        <s v="INV-2024370"/>
        <s v="INVABC-2024370"/>
        <s v="INV-2024371"/>
        <s v="INV-2024372"/>
        <s v="INV-2024373"/>
        <s v="INV-2024374"/>
        <s v="INV-2024375"/>
        <s v="INV-2024376"/>
        <s v="INV-2024377"/>
        <s v="INV-2024378"/>
        <s v="INV-2024379"/>
        <s v="INV-2024380"/>
        <s v="INV-2024381"/>
        <s v="INV-2024382"/>
        <s v="INV-2024383"/>
        <s v="INV-2024384"/>
        <s v="INV-2024385"/>
        <s v="INV-2024386"/>
        <s v="INV-2024387"/>
        <s v="INV-2024388"/>
        <s v="INV-2024389"/>
        <s v="INV-2024391"/>
        <s v="INV-2024392"/>
        <s v="INV-2024393"/>
        <s v="INV-2024394"/>
        <s v="INV-2024395"/>
        <s v="INV-2024396"/>
        <s v="INV-2024397"/>
        <s v="INV-2024398"/>
        <s v="INV-2024399"/>
        <s v="INV-2024400"/>
        <s v="INV-2024401"/>
        <s v="INV-2024402"/>
        <s v="INV-2024403"/>
        <s v="INV-2024404"/>
        <s v="INV-2024405"/>
        <s v="INV-2024406"/>
        <s v="INV-2024407"/>
        <s v="INV-2024409"/>
        <s v="INV-2024410"/>
        <s v="INV-2024411"/>
        <s v="INV-2024412"/>
        <s v="INV-2024413"/>
        <s v="INV-2024414"/>
        <s v="INV-2024415"/>
        <s v="INV-2024416"/>
        <s v="INV-2024417"/>
        <s v="INV-2024418"/>
        <s v="INV-2024419"/>
        <s v="INV-2024420"/>
        <s v="INV-2024421"/>
        <s v="INV-2024422"/>
        <s v="INV-2024423"/>
        <s v="INV-2024424"/>
        <s v="INV-2024425"/>
        <s v="INV-2024426"/>
        <s v="INV-2024427"/>
        <s v="INV-2024428"/>
        <s v="INV-2024429"/>
        <s v="INV-2024430"/>
        <s v="INV-2024431"/>
        <s v="INV-2024432"/>
        <s v="INV-2024433"/>
        <s v="INV-2024434"/>
        <s v="INV-2024435"/>
        <s v="INV-2024436"/>
        <s v="INV-2024437"/>
        <s v="INV-2024438"/>
        <s v="INV-2024439"/>
        <s v="INV-2024440"/>
        <s v="INV-2024441"/>
        <s v="INV-2024442"/>
        <s v="INV-2024443"/>
        <s v="INV-2024444"/>
        <s v="INV-2024445"/>
        <s v="INV-2024446"/>
        <s v="INV-2024447"/>
        <s v="INV-2024448"/>
        <s v="INV-2024449"/>
        <s v="INV-2024450"/>
        <s v="INV-A2024028"/>
      </sharedItems>
    </cacheField>
    <cacheField name="Vendor Name" numFmtId="49">
      <sharedItems count="20">
        <s v="Brightpath Consulting"/>
        <s v="Titan IT Solutions"/>
        <s v="Sunrise Catering Services"/>
        <s v="Falcon Security Systems"/>
        <s v="Anchor Legal Partners"/>
        <s v="Bluewave Marketing Agency"/>
        <s v="Redwood Raw Materials"/>
        <s v="Nimbus Cloud Services"/>
        <s v="Greenfield Packaging Co."/>
        <s v="Crescent HR Staffing"/>
        <s v="Meridian Transport Co."/>
        <s v="Apex Office Supplies"/>
        <s v="Quantum Electronics Ltd"/>
        <s v="Novatech Hardware"/>
        <s v="Horizon Facilities Mgmt."/>
        <s v="Ironclad Insurance Group"/>
        <s v="Pioneer Chemicals Pvt Ltd"/>
        <s v="Silverline Manufacturing"/>
        <s v="Coastal Freight Logistics"/>
        <s v="Vertex Software Inc."/>
      </sharedItems>
    </cacheField>
    <cacheField name="PO Number" numFmtId="49">
      <sharedItems containsBlank="1"/>
    </cacheField>
    <cacheField name="Invoice Date" numFmtId="165">
      <sharedItems containsNonDate="0" containsDate="1" containsString="0" containsBlank="1" minDate="2024-01-01T00:00:00" maxDate="2025-12-06T00:00:00" count="320">
        <d v="2024-07-11T00:00:00"/>
        <d v="2024-12-10T00:00:00"/>
        <d v="2025-01-14T00:00:00"/>
        <d v="2024-09-28T00:00:00"/>
        <d v="2024-12-14T00:00:00"/>
        <d v="2024-03-21T00:00:00"/>
        <d v="2025-08-25T00:00:00"/>
        <d v="2024-04-10T00:00:00"/>
        <d v="2024-01-03T00:00:00"/>
        <d v="2025-08-15T00:00:00"/>
        <d v="2025-07-10T00:00:00"/>
        <d v="2024-10-10T00:00:00"/>
        <d v="2024-04-11T00:00:00"/>
        <d v="2024-03-12T00:00:00"/>
        <d v="2024-01-31T00:00:00"/>
        <d v="2024-01-01T00:00:00"/>
        <d v="2025-05-17T00:00:00"/>
        <d v="2025-04-17T00:00:00"/>
        <d v="2025-05-05T00:00:00"/>
        <d v="2025-06-03T00:00:00"/>
        <d v="2024-09-16T00:00:00"/>
        <d v="2025-09-01T00:00:00"/>
        <d v="2024-09-23T00:00:00"/>
        <d v="2025-06-16T00:00:00"/>
        <d v="2025-06-04T00:00:00"/>
        <d v="2024-11-23T00:00:00"/>
        <d v="2025-04-15T00:00:00"/>
        <d v="2024-07-25T00:00:00"/>
        <d v="2025-10-15T00:00:00"/>
        <d v="2025-04-29T00:00:00"/>
        <d v="2025-02-24T00:00:00"/>
        <d v="2025-01-04T00:00:00"/>
        <d v="2024-11-02T00:00:00"/>
        <d v="2024-04-17T00:00:00"/>
        <d v="2024-11-20T00:00:00"/>
        <d v="2025-02-01T00:00:00"/>
        <d v="2025-08-06T00:00:00"/>
        <d v="2024-03-17T00:00:00"/>
        <d v="2024-09-07T00:00:00"/>
        <d v="2025-03-01T00:00:00"/>
        <d v="2025-07-08T00:00:00"/>
        <d v="2025-01-15T00:00:00"/>
        <d v="2024-02-01T00:00:00"/>
        <d v="2024-08-08T00:00:00"/>
        <d v="2025-01-01T00:00:00"/>
        <d v="2024-12-28T00:00:00"/>
        <d v="2024-06-12T00:00:00"/>
        <d v="2024-09-15T00:00:00"/>
        <d v="2024-10-19T00:00:00"/>
        <d v="2024-06-11T00:00:00"/>
        <d v="2025-10-05T00:00:00"/>
        <d v="2025-03-21T00:00:00"/>
        <d v="2025-08-13T00:00:00"/>
        <d v="2024-07-17T00:00:00"/>
        <d v="2025-09-23T00:00:00"/>
        <d v="2025-11-10T00:00:00"/>
        <d v="2024-12-22T00:00:00"/>
        <d v="2024-11-26T00:00:00"/>
        <d v="2025-06-14T00:00:00"/>
        <d v="2025-03-08T00:00:00"/>
        <d v="2025-08-24T00:00:00"/>
        <d v="2025-09-06T00:00:00"/>
        <d v="2025-04-06T00:00:00"/>
        <d v="2025-06-19T00:00:00"/>
        <d v="2024-11-08T00:00:00"/>
        <d v="2025-02-06T00:00:00"/>
        <d v="2025-04-20T00:00:00"/>
        <d v="2024-12-24T00:00:00"/>
        <d v="2024-09-17T00:00:00"/>
        <d v="2024-09-24T00:00:00"/>
        <d v="2024-07-21T00:00:00"/>
        <d v="2025-06-06T00:00:00"/>
        <d v="2024-04-07T00:00:00"/>
        <d v="2024-04-25T00:00:00"/>
        <d v="2024-11-24T00:00:00"/>
        <d v="2024-05-05T00:00:00"/>
        <d v="2024-06-21T00:00:00"/>
        <d v="2024-10-14T00:00:00"/>
        <d v="2024-03-23T00:00:00"/>
        <d v="2024-07-08T00:00:00"/>
        <d v="2025-04-14T00:00:00"/>
        <d v="2024-03-04T00:00:00"/>
        <d v="2025-03-27T00:00:00"/>
        <d v="2025-05-29T00:00:00"/>
        <d v="2024-06-06T00:00:00"/>
        <d v="2024-08-15T00:00:00"/>
        <d v="2024-03-26T00:00:00"/>
        <d v="2025-03-30T00:00:00"/>
        <d v="2024-12-25T00:00:00"/>
        <d v="2024-05-26T00:00:00"/>
        <d v="2025-05-14T00:00:00"/>
        <d v="2025-09-13T00:00:00"/>
        <d v="2024-03-16T00:00:00"/>
        <d v="2025-06-28T00:00:00"/>
        <d v="2024-02-28T00:00:00"/>
        <d v="2024-05-23T00:00:00"/>
        <d v="2025-10-08T00:00:00"/>
        <d v="2025-03-15T00:00:00"/>
        <d v="2024-03-02T00:00:00"/>
        <d v="2024-07-20T00:00:00"/>
        <d v="2025-05-31T00:00:00"/>
        <d v="2024-08-10T00:00:00"/>
        <d v="2024-09-03T00:00:00"/>
        <d v="2024-07-02T00:00:00"/>
        <d v="2024-04-23T00:00:00"/>
        <d v="2024-06-26T00:00:00"/>
        <d v="2025-08-30T00:00:00"/>
        <d v="2024-06-23T00:00:00"/>
        <d v="2025-02-28T00:00:00"/>
        <d v="2025-05-01T00:00:00"/>
        <d v="2024-06-30T00:00:00"/>
        <d v="2024-01-09T00:00:00"/>
        <d v="2024-06-02T00:00:00"/>
        <d v="2024-09-05T00:00:00"/>
        <d v="2025-03-19T00:00:00"/>
        <d v="2024-02-16T00:00:00"/>
        <d v="2024-08-12T00:00:00"/>
        <d v="2025-05-06T00:00:00"/>
        <d v="2024-06-22T00:00:00"/>
        <d v="2025-02-25T00:00:00"/>
        <d v="2024-09-22T00:00:00"/>
        <d v="2025-09-20T00:00:00"/>
        <d v="2024-04-03T00:00:00"/>
        <d v="2024-04-18T00:00:00"/>
        <d v="2024-05-18T00:00:00"/>
        <d v="2024-07-22T00:00:00"/>
        <d v="2024-12-19T00:00:00"/>
        <d v="2024-06-08T00:00:00"/>
        <d v="2025-02-03T00:00:00"/>
        <d v="2024-09-21T00:00:00"/>
        <d v="2025-05-23T00:00:00"/>
        <d v="2025-03-05T00:00:00"/>
        <d v="2024-10-26T00:00:00"/>
        <d v="2024-02-15T00:00:00"/>
        <d v="2025-02-20T00:00:00"/>
        <d v="2025-11-25T00:00:00"/>
        <d v="2024-03-18T00:00:00"/>
        <d v="2024-03-28T00:00:00"/>
        <d v="2025-10-06T00:00:00"/>
        <d v="2024-08-22T00:00:00"/>
        <d v="2025-06-22T00:00:00"/>
        <d v="2025-07-29T00:00:00"/>
        <d v="2025-04-02T00:00:00"/>
        <d v="2024-05-31T00:00:00"/>
        <d v="2025-03-03T00:00:00"/>
        <d v="2025-10-07T00:00:00"/>
        <d v="2025-07-28T00:00:00"/>
        <d v="2024-11-09T00:00:00"/>
        <d v="2024-11-22T00:00:00"/>
        <d v="2024-08-02T00:00:00"/>
        <d v="2025-04-10T00:00:00"/>
        <d v="2024-03-13T00:00:00"/>
        <d v="2024-09-08T00:00:00"/>
        <d v="2024-03-11T00:00:00"/>
        <d v="2024-11-03T00:00:00"/>
        <d v="2024-07-23T00:00:00"/>
        <d v="2025-07-12T00:00:00"/>
        <d v="2025-06-12T00:00:00"/>
        <d v="2025-01-06T00:00:00"/>
        <d v="2024-07-28T00:00:00"/>
        <d v="2025-07-01T00:00:00"/>
        <d v="2024-05-19T00:00:00"/>
        <d v="2024-06-17T00:00:00"/>
        <d v="2024-04-30T00:00:00"/>
        <d v="2025-11-07T00:00:00"/>
        <d v="2025-12-05T00:00:00"/>
        <d v="2025-04-25T00:00:00"/>
        <d v="2024-07-05T00:00:00"/>
        <d v="2024-07-06T00:00:00"/>
        <d v="2025-08-07T00:00:00"/>
        <d v="2024-10-04T00:00:00"/>
        <d v="2025-02-15T00:00:00"/>
        <d v="2024-05-10T00:00:00"/>
        <d v="2025-03-02T00:00:00"/>
        <d v="2024-12-23T00:00:00"/>
        <d v="2024-06-28T00:00:00"/>
        <d v="2025-02-05T00:00:00"/>
        <d v="2024-04-05T00:00:00"/>
        <d v="2024-07-26T00:00:00"/>
        <d v="2024-05-01T00:00:00"/>
        <d v="2024-03-31T00:00:00"/>
        <d v="2025-06-26T00:00:00"/>
        <d v="2025-04-27T00:00:00"/>
        <d v="2025-03-11T00:00:00"/>
        <d v="2024-04-12T00:00:00"/>
        <d v="2025-06-23T00:00:00"/>
        <d v="2025-01-16T00:00:00"/>
        <d v="2024-02-27T00:00:00"/>
        <d v="2024-05-27T00:00:00"/>
        <d v="2025-04-28T00:00:00"/>
        <d v="2024-12-16T00:00:00"/>
        <d v="2025-02-21T00:00:00"/>
        <d v="2025-08-18T00:00:00"/>
        <d v="2025-04-22T00:00:00"/>
        <d v="2024-04-22T00:00:00"/>
        <d v="2024-07-29T00:00:00"/>
        <d v="2024-03-19T00:00:00"/>
        <d v="2025-03-20T00:00:00"/>
        <d v="2025-05-12T00:00:00"/>
        <d v="2025-06-18T00:00:00"/>
        <d v="2024-09-09T00:00:00"/>
        <d v="2024-11-04T00:00:00"/>
        <d v="2024-01-29T00:00:00"/>
        <d v="2025-07-18T00:00:00"/>
        <d v="2025-05-21T00:00:00"/>
        <d v="2024-03-15T00:00:00"/>
        <d v="2025-04-24T00:00:00"/>
        <d v="2024-07-12T00:00:00"/>
        <d v="2025-09-19T00:00:00"/>
        <d v="2024-04-08T00:00:00"/>
        <d v="2025-01-11T00:00:00"/>
        <d v="2024-03-22T00:00:00"/>
        <d v="2024-03-08T00:00:00"/>
        <d v="2025-09-08T00:00:00"/>
        <d v="2024-03-03T00:00:00"/>
        <d v="2025-07-05T00:00:00"/>
        <d v="2024-07-10T00:00:00"/>
        <d v="2024-02-29T00:00:00"/>
        <d v="2024-03-27T00:00:00"/>
        <d v="2024-02-18T00:00:00"/>
        <d v="2025-04-13T00:00:00"/>
        <d v="2025-08-26T00:00:00"/>
        <d v="2025-09-30T00:00:00"/>
        <d v="2024-09-18T00:00:00"/>
        <d v="2024-01-30T00:00:00"/>
        <d v="2024-10-16T00:00:00"/>
        <d v="2025-03-31T00:00:00"/>
        <d v="2025-05-19T00:00:00"/>
        <d v="2025-06-13T00:00:00"/>
        <d v="2025-03-09T00:00:00"/>
        <d v="2024-07-09T00:00:00"/>
        <d v="2025-11-28T00:00:00"/>
        <d v="2024-05-25T00:00:00"/>
        <d v="2025-04-12T00:00:00"/>
        <d v="2024-10-13T00:00:00"/>
        <d v="2024-02-07T00:00:00"/>
        <d v="2025-01-26T00:00:00"/>
        <d v="2025-09-10T00:00:00"/>
        <d v="2024-05-07T00:00:00"/>
        <d v="2024-06-14T00:00:00"/>
        <d v="2024-02-14T00:00:00"/>
        <d v="2024-11-16T00:00:00"/>
        <d v="2024-10-06T00:00:00"/>
        <d v="2025-02-02T00:00:00"/>
        <d v="2024-07-16T00:00:00"/>
        <d v="2024-06-07T00:00:00"/>
        <d v="2024-06-29T00:00:00"/>
        <d v="2024-09-29T00:00:00"/>
        <d v="2024-03-25T00:00:00"/>
        <d v="2024-09-06T00:00:00"/>
        <d v="2024-07-03T00:00:00"/>
        <d v="2024-01-02T00:00:00"/>
        <d v="2025-03-07T00:00:00"/>
        <d v="2024-06-24T00:00:00"/>
        <d v="2025-09-29T00:00:00"/>
        <d v="2025-08-08T00:00:00"/>
        <d v="2024-09-12T00:00:00"/>
        <d v="2024-01-07T00:00:00"/>
        <d v="2024-04-15T00:00:00"/>
        <d v="2025-09-11T00:00:00"/>
        <d v="2025-01-09T00:00:00"/>
        <d v="2024-07-07T00:00:00"/>
        <d v="2024-04-28T00:00:00"/>
        <d v="2024-10-02T00:00:00"/>
        <d v="2025-02-16T00:00:00"/>
        <d v="2024-09-02T00:00:00"/>
        <d v="2024-05-20T00:00:00"/>
        <d v="2024-03-07T00:00:00"/>
        <d v="2025-03-28T00:00:00"/>
        <d v="2025-01-19T00:00:00"/>
        <d v="2024-02-09T00:00:00"/>
        <d v="2024-08-07T00:00:00"/>
        <d v="2024-06-03T00:00:00"/>
        <d v="2025-01-07T00:00:00"/>
        <d v="2025-02-09T00:00:00"/>
        <d v="2024-02-22T00:00:00"/>
        <d v="2025-08-03T00:00:00"/>
        <d v="2025-05-08T00:00:00"/>
        <d v="2024-02-12T00:00:00"/>
        <d v="2025-06-27T00:00:00"/>
        <d v="2025-02-08T00:00:00"/>
        <d v="2024-08-01T00:00:00"/>
        <d v="2024-09-01T00:00:00"/>
        <d v="2025-05-24T00:00:00"/>
        <d v="2024-07-18T00:00:00"/>
        <d v="2024-06-10T00:00:00"/>
        <d v="2024-12-05T00:00:00"/>
        <d v="2024-03-05T00:00:00"/>
        <d v="2024-05-22T00:00:00"/>
        <d v="2025-03-06T00:00:00"/>
        <d v="2024-01-25T00:00:00"/>
        <d v="2025-03-24T00:00:00"/>
        <d v="2024-02-06T00:00:00"/>
        <m/>
        <d v="2025-07-23T00:00:00"/>
        <d v="2024-08-21T00:00:00"/>
        <d v="2024-10-28T00:00:00"/>
        <d v="2025-07-15T00:00:00"/>
        <d v="2025-06-01T00:00:00"/>
        <d v="2025-09-04T00:00:00"/>
        <d v="2024-12-29T00:00:00"/>
        <d v="2024-02-19T00:00:00"/>
        <d v="2025-03-18T00:00:00"/>
        <d v="2025-07-25T00:00:00"/>
        <d v="2025-05-16T00:00:00"/>
        <d v="2024-02-24T00:00:00"/>
        <d v="2025-01-17T00:00:00"/>
        <d v="2024-06-18T00:00:00"/>
        <d v="2024-05-11T00:00:00"/>
        <d v="2024-09-20T00:00:00"/>
        <d v="2025-05-25T00:00:00"/>
        <d v="2025-02-22T00:00:00"/>
        <d v="2024-04-06T00:00:00"/>
        <d v="2025-06-08T00:00:00"/>
        <d v="2025-07-27T00:00:00"/>
        <d v="2025-01-27T00:00:00"/>
        <d v="2025-06-29T00:00:00"/>
        <d v="2024-08-03T00:00:00"/>
        <d v="2024-03-09T00:00:00"/>
        <d v="2024-09-19T00:00:00"/>
      </sharedItems>
    </cacheField>
    <cacheField name="Due Date" numFmtId="165">
      <sharedItems containsNonDate="0" containsDate="1" containsString="0" containsBlank="1" minDate="2024-02-02T00:00:00" maxDate="2025-12-09T00:00:00" count="219">
        <d v="2024-08-10T00:00:00"/>
        <d v="2025-01-24T00:00:00"/>
        <d v="2025-02-13T00:00:00"/>
        <d v="2024-11-27T00:00:00"/>
        <d v="2025-01-28T00:00:00"/>
        <d v="2024-05-05T00:00:00"/>
        <d v="2025-10-24T00:00:00"/>
        <d v="2024-10-05T00:00:00"/>
        <d v="2024-02-02T00:00:00"/>
        <d v="2025-10-14T00:00:00"/>
        <d v="2025-08-09T00:00:00"/>
        <d v="2025-10-09T00:00:00"/>
        <d v="2025-07-27T00:00:00"/>
        <d v="2025-04-08T00:00:00"/>
        <d v="2025-05-07T00:00:00"/>
        <d v="2025-09-26T00:00:00"/>
        <d v="2025-12-08T00:00:00"/>
        <d v="2025-08-14T00:00:00"/>
        <d v="2025-07-15T00:00:00"/>
        <d v="2025-09-13T00:00:00"/>
        <d v="2025-08-29T00:00:00"/>
        <m/>
        <d v="2025-02-08T00:00:00"/>
        <d v="2025-08-18T00:00:00"/>
        <d v="2025-02-05T00:00:00"/>
        <d v="2025-05-05T00:00:00"/>
        <d v="2024-08-11T00:00:00"/>
        <d v="2025-09-15T00:00:00"/>
        <d v="2025-02-28T00:00:00"/>
        <d v="2025-01-25T00:00:00"/>
        <d v="2024-11-22T00:00:00"/>
        <d v="2025-03-27T00:00:00"/>
        <d v="2025-07-07T00:00:00"/>
        <d v="2025-06-07T00:00:00"/>
        <d v="2025-05-01T00:00:00"/>
        <d v="2025-09-06T00:00:00"/>
        <d v="2025-02-14T00:00:00"/>
        <d v="2025-06-23T00:00:00"/>
        <d v="2024-11-16T00:00:00"/>
        <d v="2025-06-06T00:00:00"/>
        <d v="2024-08-12T00:00:00"/>
        <d v="2024-08-23T00:00:00"/>
        <d v="2025-03-26T00:00:00"/>
        <d v="2025-02-19T00:00:00"/>
        <d v="2025-07-30T00:00:00"/>
        <d v="2025-09-23T00:00:00"/>
        <d v="2025-11-09T00:00:00"/>
        <d v="2025-05-31T00:00:00"/>
        <d v="2025-09-14T00:00:00"/>
        <d v="2025-09-08T00:00:00"/>
        <d v="2025-10-05T00:00:00"/>
        <d v="2025-05-20T00:00:00"/>
        <d v="2024-12-23T00:00:00"/>
        <d v="2025-07-16T00:00:00"/>
        <d v="2025-08-02T00:00:00"/>
        <d v="2025-06-03T00:00:00"/>
        <d v="2025-08-10T00:00:00"/>
        <d v="2025-06-09T00:00:00"/>
        <d v="2025-10-18T00:00:00"/>
        <d v="2025-07-18T00:00:00"/>
        <d v="2024-03-24T00:00:00"/>
        <d v="2025-08-24T00:00:00"/>
        <d v="2025-08-22T00:00:00"/>
        <d v="2024-04-05T00:00:00"/>
        <d v="2025-08-19T00:00:00"/>
        <d v="2024-09-05T00:00:00"/>
        <d v="2024-09-03T00:00:00"/>
        <d v="2025-07-03T00:00:00"/>
        <d v="2025-03-30T00:00:00"/>
        <d v="2025-02-25T00:00:00"/>
        <d v="2025-08-31T00:00:00"/>
        <d v="2024-08-19T00:00:00"/>
        <d v="2025-06-14T00:00:00"/>
        <d v="2024-10-02T00:00:00"/>
        <d v="2025-04-13T00:00:00"/>
        <d v="2024-11-25T00:00:00"/>
        <d v="2024-07-19T00:00:00"/>
        <d v="2025-01-01T00:00:00"/>
        <d v="2025-07-17T00:00:00"/>
        <d v="2025-05-29T00:00:00"/>
        <d v="2025-02-01T00:00:00"/>
        <d v="2025-02-27T00:00:00"/>
        <d v="2024-12-18T00:00:00"/>
        <d v="2025-06-28T00:00:00"/>
        <d v="2025-05-25T00:00:00"/>
        <d v="2025-10-21T00:00:00"/>
        <d v="2024-03-25T00:00:00"/>
        <d v="2025-05-09T00:00:00"/>
        <d v="2025-04-28T00:00:00"/>
        <d v="2025-04-30T00:00:00"/>
        <d v="2024-05-13T00:00:00"/>
        <d v="2025-01-07T00:00:00"/>
        <d v="2025-09-24T00:00:00"/>
        <d v="2024-08-24T00:00:00"/>
        <d v="2025-05-14T00:00:00"/>
        <d v="2025-06-30T00:00:00"/>
        <d v="2025-10-25T00:00:00"/>
        <d v="2025-07-20T00:00:00"/>
        <d v="2025-08-21T00:00:00"/>
        <d v="2024-09-21T00:00:00"/>
        <d v="2025-04-15T00:00:00"/>
        <d v="2024-06-13T00:00:00"/>
        <d v="2025-06-04T00:00:00"/>
        <d v="2025-10-02T00:00:00"/>
        <d v="2025-08-26T00:00:00"/>
        <d v="2024-06-22T00:00:00"/>
        <d v="2025-07-26T00:00:00"/>
        <d v="2024-12-03T00:00:00"/>
        <d v="2025-07-08T00:00:00"/>
        <d v="2025-01-16T00:00:00"/>
        <d v="2025-10-19T00:00:00"/>
        <d v="2024-08-22T00:00:00"/>
        <d v="2025-08-05T00:00:00"/>
        <d v="2025-02-20T00:00:00"/>
        <d v="2025-01-21T00:00:00"/>
        <d v="2024-06-16T00:00:00"/>
        <d v="2024-04-14T00:00:00"/>
        <d v="2025-09-05T00:00:00"/>
        <d v="2025-07-28T00:00:00"/>
        <d v="2025-09-19T00:00:00"/>
        <d v="2025-01-17T00:00:00"/>
        <d v="2025-08-08T00:00:00"/>
        <d v="2025-06-13T00:00:00"/>
        <d v="2025-06-01T00:00:00"/>
        <d v="2024-09-16T00:00:00"/>
        <d v="2025-09-02T00:00:00"/>
        <d v="2024-07-25T00:00:00"/>
        <d v="2024-10-23T00:00:00"/>
        <d v="2025-04-21T00:00:00"/>
        <d v="2024-06-23T00:00:00"/>
        <d v="2025-05-13T00:00:00"/>
        <d v="2025-05-28T00:00:00"/>
        <d v="2025-08-17T00:00:00"/>
        <d v="2025-07-04T00:00:00"/>
        <d v="2025-02-10T00:00:00"/>
        <d v="2024-06-06T00:00:00"/>
        <d v="2024-09-27T00:00:00"/>
        <d v="2024-04-18T00:00:00"/>
        <d v="2024-04-04T00:00:00"/>
        <d v="2024-05-21T00:00:00"/>
        <d v="2024-04-23T00:00:00"/>
        <d v="2025-05-24T00:00:00"/>
        <d v="2024-11-08T00:00:00"/>
        <d v="2024-05-25T00:00:00"/>
        <d v="2025-12-06T00:00:00"/>
        <d v="2025-09-25T00:00:00"/>
        <d v="2025-10-30T00:00:00"/>
        <d v="2025-07-13T00:00:00"/>
        <d v="2025-06-19T00:00:00"/>
        <d v="2025-01-30T00:00:00"/>
        <d v="2025-08-07T00:00:00"/>
        <d v="2025-08-28T00:00:00"/>
        <d v="2025-08-04T00:00:00"/>
        <d v="2025-11-10T00:00:00"/>
        <d v="2024-06-24T00:00:00"/>
        <d v="2025-12-05T00:00:00"/>
        <d v="2024-12-12T00:00:00"/>
        <d v="2024-07-05T00:00:00"/>
        <d v="2025-08-11T00:00:00"/>
        <d v="2025-05-30T00:00:00"/>
        <d v="2025-07-29T00:00:00"/>
        <d v="2025-03-29T00:00:00"/>
        <d v="2024-05-11T00:00:00"/>
        <d v="2025-04-03T00:00:00"/>
        <d v="2024-08-15T00:00:00"/>
        <d v="2025-05-26T00:00:00"/>
        <d v="2024-10-14T00:00:00"/>
        <d v="2024-12-29T00:00:00"/>
        <d v="2025-07-06T00:00:00"/>
        <d v="2024-12-16T00:00:00"/>
        <d v="2025-06-29T00:00:00"/>
        <d v="2025-08-20T00:00:00"/>
        <d v="2025-05-19T00:00:00"/>
        <d v="2025-07-10T00:00:00"/>
        <d v="2024-10-27T00:00:00"/>
        <d v="2025-04-07T00:00:00"/>
        <d v="2025-12-01T00:00:00"/>
        <d v="2025-06-20T00:00:00"/>
        <d v="2025-02-12T00:00:00"/>
        <d v="2025-04-17T00:00:00"/>
        <d v="2025-06-25T00:00:00"/>
        <d v="2024-06-21T00:00:00"/>
        <d v="2025-01-29T00:00:00"/>
        <d v="2025-04-27T00:00:00"/>
        <d v="2025-05-03T00:00:00"/>
        <d v="2025-04-23T00:00:00"/>
        <d v="2024-08-17T00:00:00"/>
        <d v="2024-04-26T00:00:00"/>
        <d v="2025-05-23T00:00:00"/>
        <d v="2025-10-13T00:00:00"/>
        <d v="2025-01-31T00:00:00"/>
        <d v="2025-10-27T00:00:00"/>
        <d v="2025-04-25T00:00:00"/>
        <d v="2025-02-21T00:00:00"/>
        <d v="2024-04-24T00:00:00"/>
        <d v="2025-05-18T00:00:00"/>
        <d v="2025-09-30T00:00:00"/>
        <d v="2025-08-27T00:00:00"/>
        <d v="2024-12-07T00:00:00"/>
        <d v="2024-05-22T00:00:00"/>
        <d v="2025-05-27T00:00:00"/>
        <d v="2024-05-18T00:00:00"/>
        <d v="2025-03-17T00:00:00"/>
        <d v="2025-12-02T00:00:00"/>
        <d v="2024-04-19T00:00:00"/>
        <d v="2025-02-04T00:00:00"/>
        <d v="2025-06-16T00:00:00"/>
        <d v="2025-04-29T00:00:00"/>
        <d v="2024-03-27T00:00:00"/>
        <d v="2024-06-20T00:00:00"/>
        <d v="2025-03-03T00:00:00"/>
        <d v="2024-11-14T00:00:00"/>
        <d v="2024-07-13T00:00:00"/>
        <d v="2025-06-24T00:00:00"/>
        <d v="2025-02-18T00:00:00"/>
        <d v="2025-03-22T00:00:00"/>
        <d v="2024-10-22T00:00:00"/>
        <d v="2024-03-19T00:00:00"/>
        <d v="2024-12-22T00:00:00"/>
      </sharedItems>
      <fieldGroup par="17"/>
    </cacheField>
    <cacheField name="Invoice Amount" numFmtId="164">
      <sharedItems containsSemiMixedTypes="0" containsString="0" containsNumber="1" minValue="464.26" maxValue="84548.62" count="443">
        <n v="62639.58"/>
        <n v="8356.3799999999992"/>
        <n v="59699.45"/>
        <n v="45882.22"/>
        <n v="13569.69"/>
        <n v="69389.570000000007"/>
        <n v="18835.45"/>
        <n v="68080.27"/>
        <n v="78765.06"/>
        <n v="7106.29"/>
        <n v="83629.95"/>
        <n v="65579.47"/>
        <n v="82780.070000000007"/>
        <n v="29944.75"/>
        <n v="31054.19"/>
        <n v="36626.01"/>
        <n v="42097.9"/>
        <n v="62456.5"/>
        <n v="63249.16"/>
        <n v="80423.360000000001"/>
        <n v="7272.94"/>
        <n v="48002.82"/>
        <n v="45353.43"/>
        <n v="23817.06"/>
        <n v="67270.789999999994"/>
        <n v="38177.61"/>
        <n v="82072.479999999996"/>
        <n v="51877.18"/>
        <n v="3263.75"/>
        <n v="49967.38"/>
        <n v="44567.66"/>
        <n v="26517.15"/>
        <n v="22819.599999999999"/>
        <n v="42178.64"/>
        <n v="74171.7"/>
        <n v="12293.54"/>
        <n v="23439.66"/>
        <n v="62290.73"/>
        <n v="22589.31"/>
        <n v="8396.74"/>
        <n v="16255.26"/>
        <n v="9477.25"/>
        <n v="72043.28"/>
        <n v="35262.080000000002"/>
        <n v="49186.39"/>
        <n v="7935.64"/>
        <n v="18860.990000000002"/>
        <n v="34465.279999999999"/>
        <n v="29940.81"/>
        <n v="4916.2"/>
        <n v="42960.98"/>
        <n v="11091.55"/>
        <n v="71009.919999999998"/>
        <n v="83679.72"/>
        <n v="46716.04"/>
        <n v="83372.509999999995"/>
        <n v="28917.26"/>
        <n v="80994.179999999993"/>
        <n v="10142.02"/>
        <n v="67213.149999999994"/>
        <n v="36857.660000000003"/>
        <n v="3645.34"/>
        <n v="82910.490000000005"/>
        <n v="80353"/>
        <n v="23884.3"/>
        <n v="50527.54"/>
        <n v="16338.05"/>
        <n v="23823.69"/>
        <n v="40661.51"/>
        <n v="72362.42"/>
        <n v="64106.25"/>
        <n v="68199.28"/>
        <n v="38623.730000000003"/>
        <n v="38208.379999999997"/>
        <n v="52326.23"/>
        <n v="83786.27"/>
        <n v="68520.11"/>
        <n v="25875.5"/>
        <n v="26701.43"/>
        <n v="14512.2"/>
        <n v="45071.09"/>
        <n v="8083.52"/>
        <n v="78965.039999999994"/>
        <n v="65668.399999999994"/>
        <n v="73436.490000000005"/>
        <n v="11646.29"/>
        <n v="31121.57"/>
        <n v="78508.61"/>
        <n v="47495.74"/>
        <n v="2066.35"/>
        <n v="16871.75"/>
        <n v="50756.73"/>
        <n v="48124"/>
        <n v="73307.64"/>
        <n v="73718.990000000005"/>
        <n v="73876.820000000007"/>
        <n v="37593.11"/>
        <n v="938"/>
        <n v="78203.02"/>
        <n v="63604.53"/>
        <n v="43135.91"/>
        <n v="78604.66"/>
        <n v="22461.279999999999"/>
        <n v="23166.240000000002"/>
        <n v="64676.92"/>
        <n v="11478.65"/>
        <n v="38495.160000000003"/>
        <n v="8796.84"/>
        <n v="7487.35"/>
        <n v="14812.69"/>
        <n v="15407.38"/>
        <n v="80550.36"/>
        <n v="81653.41"/>
        <n v="2897.68"/>
        <n v="29951.96"/>
        <n v="51680.9"/>
        <n v="40332.47"/>
        <n v="82514.36"/>
        <n v="10856.88"/>
        <n v="50036.21"/>
        <n v="1866.76"/>
        <n v="34377.230000000003"/>
        <n v="49946.79"/>
        <n v="68461.509999999995"/>
        <n v="76488.45"/>
        <n v="15519.38"/>
        <n v="10316.379999999999"/>
        <n v="11130.1"/>
        <n v="38835.35"/>
        <n v="84548.62"/>
        <n v="66736.89"/>
        <n v="22561.01"/>
        <n v="68021.440000000002"/>
        <n v="37542.370000000003"/>
        <n v="6502.32"/>
        <n v="54245.11"/>
        <n v="41932.019999999997"/>
        <n v="66424.77"/>
        <n v="17944.12"/>
        <n v="22803.11"/>
        <n v="17381.95"/>
        <n v="28198.25"/>
        <n v="30763.7"/>
        <n v="37955.5"/>
        <n v="7576.15"/>
        <n v="32512.94"/>
        <n v="70978.399999999994"/>
        <n v="58989.919999999998"/>
        <n v="22485.46"/>
        <n v="56378.27"/>
        <n v="53908.160000000003"/>
        <n v="18097.23"/>
        <n v="74691.490000000005"/>
        <n v="51527.61"/>
        <n v="8441.2800000000007"/>
        <n v="64209.37"/>
        <n v="78709.37"/>
        <n v="20450.919999999998"/>
        <n v="28996.11"/>
        <n v="43975.38"/>
        <n v="71113"/>
        <n v="79879.679999999993"/>
        <n v="23876.57"/>
        <n v="33954.400000000001"/>
        <n v="30999.439999999999"/>
        <n v="52219.37"/>
        <n v="35276.97"/>
        <n v="37752.160000000003"/>
        <n v="37641.85"/>
        <n v="22463.88"/>
        <n v="22991.21"/>
        <n v="21121.71"/>
        <n v="49761.53"/>
        <n v="21421.58"/>
        <n v="20411.04"/>
        <n v="55974.62"/>
        <n v="80299.61"/>
        <n v="76725.850000000006"/>
        <n v="72757.88"/>
        <n v="69685.87"/>
        <n v="82542.759999999995"/>
        <n v="21043.96"/>
        <n v="9684.74"/>
        <n v="5250.34"/>
        <n v="3522.99"/>
        <n v="35560.730000000003"/>
        <n v="61842.7"/>
        <n v="41849.160000000003"/>
        <n v="54572.27"/>
        <n v="70566.460000000006"/>
        <n v="61825.24"/>
        <n v="72731.63"/>
        <n v="28244.78"/>
        <n v="44666.23"/>
        <n v="60273.61"/>
        <n v="81615.570000000007"/>
        <n v="28927.08"/>
        <n v="43083.65"/>
        <n v="8898.2800000000007"/>
        <n v="48860.94"/>
        <n v="69120.41"/>
        <n v="51436.75"/>
        <n v="39427.78"/>
        <n v="73602.92"/>
        <n v="79206.570000000007"/>
        <n v="7333.69"/>
        <n v="12206.12"/>
        <n v="22248.6"/>
        <n v="41295.339999999997"/>
        <n v="19976.16"/>
        <n v="7479.88"/>
        <n v="51934.11"/>
        <n v="464.26"/>
        <n v="82243.47"/>
        <n v="39042.730000000003"/>
        <n v="67960.02"/>
        <n v="29665.38"/>
        <n v="3825.49"/>
        <n v="75707.98"/>
        <n v="68854.45"/>
        <n v="15842.65"/>
        <n v="52683.47"/>
        <n v="60378.68"/>
        <n v="82515.94"/>
        <n v="45429.599999999999"/>
        <n v="11980.07"/>
        <n v="33882.800000000003"/>
        <n v="84014.25"/>
        <n v="35545.75"/>
        <n v="30474.16"/>
        <n v="29025.57"/>
        <n v="2590.25"/>
        <n v="57050.46"/>
        <n v="15857.92"/>
        <n v="16168.41"/>
        <n v="30364.86"/>
        <n v="41747.74"/>
        <n v="56157.67"/>
        <n v="21160.04"/>
        <n v="69002.14"/>
        <n v="42968.66"/>
        <n v="44464.57"/>
        <n v="35958.32"/>
        <n v="80729.88"/>
        <n v="30950.38"/>
        <n v="25386.33"/>
        <n v="53618.77"/>
        <n v="78476.08"/>
        <n v="72810.259999999995"/>
        <n v="4571.76"/>
        <n v="60415.19"/>
        <n v="15689.54"/>
        <n v="21036.46"/>
        <n v="27571.05"/>
        <n v="37945.79"/>
        <n v="25638.37"/>
        <n v="7217.2"/>
        <n v="52629.67"/>
        <n v="76719.94"/>
        <n v="49057.82"/>
        <n v="67688.28"/>
        <n v="28806.79"/>
        <n v="14323.88"/>
        <n v="35933.129999999997"/>
        <n v="82680.3"/>
        <n v="33240.949999999997"/>
        <n v="38225.32"/>
        <n v="70442.929999999993"/>
        <n v="73398.600000000006"/>
        <n v="75586.5"/>
        <n v="76535.740000000005"/>
        <n v="23480.57"/>
        <n v="26181.49"/>
        <n v="77680.42"/>
        <n v="24692.82"/>
        <n v="23315.16"/>
        <n v="82627.509999999995"/>
        <n v="17890.97"/>
        <n v="75081.2"/>
        <n v="16855"/>
        <n v="32171.98"/>
        <n v="38678.410000000003"/>
        <n v="12657.66"/>
        <n v="52426.35"/>
        <n v="53718.74"/>
        <n v="56228.1"/>
        <n v="82317.41"/>
        <n v="38508.99"/>
        <n v="19987.12"/>
        <n v="77565.66"/>
        <n v="17933.27"/>
        <n v="73710.259999999995"/>
        <n v="31430.14"/>
        <n v="51471.4"/>
        <n v="23379.919999999998"/>
        <n v="3355.18"/>
        <n v="15248.23"/>
        <n v="5751.48"/>
        <n v="42865.19"/>
        <n v="79762.59"/>
        <n v="62508.65"/>
        <n v="1238.99"/>
        <n v="20713.64"/>
        <n v="70554.25"/>
        <n v="16952.04"/>
        <n v="56602.6"/>
        <n v="38919.599999999999"/>
        <n v="51633.84"/>
        <n v="81186.100000000006"/>
        <n v="5637"/>
        <n v="45595.92"/>
        <n v="23352.45"/>
        <n v="33331.699999999997"/>
        <n v="57800.93"/>
        <n v="10045.85"/>
        <n v="41604.589999999997"/>
        <n v="21221.4"/>
        <n v="21783.98"/>
        <n v="21150.18"/>
        <n v="23148.93"/>
        <n v="60120.86"/>
        <n v="40848.81"/>
        <n v="31823.119999999999"/>
        <n v="25465.05"/>
        <n v="30631.24"/>
        <n v="10851.59"/>
        <n v="52001.87"/>
        <n v="17971.330000000002"/>
        <n v="77435.55"/>
        <n v="18630.990000000002"/>
        <n v="53833.14"/>
        <n v="13356.18"/>
        <n v="11799.17"/>
        <n v="13260.46"/>
        <n v="8782.32"/>
        <n v="68939.539999999994"/>
        <n v="32663.27"/>
        <n v="71021.16"/>
        <n v="40045.15"/>
        <n v="63204.98"/>
        <n v="64340.84"/>
        <n v="2159.6999999999998"/>
        <n v="20438.54"/>
        <n v="79894.53"/>
        <n v="72597.41"/>
        <n v="12496.85"/>
        <n v="15769.04"/>
        <n v="42527.96"/>
        <n v="42751.93"/>
        <n v="7755.78"/>
        <n v="66519.34"/>
        <n v="36559.339999999997"/>
        <n v="78262.429999999993"/>
        <n v="10095.030000000001"/>
        <n v="29724.75"/>
        <n v="48272"/>
        <n v="67626.06"/>
        <n v="1954.65"/>
        <n v="71684.97"/>
        <n v="23052.04"/>
        <n v="56106.94"/>
        <n v="50094.19"/>
        <n v="17646.14"/>
        <n v="73787.820000000007"/>
        <n v="12930.11"/>
        <n v="22735.22"/>
        <n v="14289.87"/>
        <n v="8634.36"/>
        <n v="63024.9"/>
        <n v="82297.789999999994"/>
        <n v="29866.02"/>
        <n v="57756.63"/>
        <n v="7653.2"/>
        <n v="48127.87"/>
        <n v="44256.94"/>
        <n v="24759.57"/>
        <n v="23645.31"/>
        <n v="49026.91"/>
        <n v="52070.02"/>
        <n v="17420.34"/>
        <n v="25454.560000000001"/>
        <n v="55576.74"/>
        <n v="55331.09"/>
        <n v="17617.3"/>
        <n v="3193.37"/>
        <n v="64167.46"/>
        <n v="7407.8"/>
        <n v="49326.54"/>
        <n v="82902.710000000006"/>
        <n v="31400.42"/>
        <n v="62348.92"/>
        <n v="55585.04"/>
        <n v="35670.379999999997"/>
        <n v="53676.09"/>
        <n v="49348.42"/>
        <n v="12114.12"/>
        <n v="73503.06"/>
        <n v="80688.14"/>
        <n v="74638.94"/>
        <n v="51149.84"/>
        <n v="35226.589999999997"/>
        <n v="1860.08"/>
        <n v="77165.440000000002"/>
        <n v="12141.9"/>
        <n v="47225.39"/>
        <n v="47989.31"/>
        <n v="53178.94"/>
        <n v="49983.85"/>
        <n v="64636.63"/>
        <n v="61962.5"/>
        <n v="23413.65"/>
        <n v="28376.62"/>
        <n v="39711.51"/>
        <n v="15253.64"/>
        <n v="84470.17"/>
        <n v="59654.31"/>
        <n v="57725.46"/>
        <n v="17154.490000000002"/>
        <n v="34080.120000000003"/>
        <n v="32738.05"/>
        <n v="25855.69"/>
        <n v="10463.64"/>
        <n v="10845.74"/>
        <n v="71157"/>
        <n v="22809.47"/>
        <n v="57252.86"/>
        <n v="32259.69"/>
        <n v="42136.6"/>
        <n v="51892.59"/>
        <n v="84127.18"/>
        <n v="25007.919999999998"/>
        <n v="63999.83"/>
        <n v="73048.679999999993"/>
        <n v="17665.52"/>
        <n v="38046.800000000003"/>
        <n v="16816.73"/>
        <n v="22567.360000000001"/>
        <n v="40188.65"/>
        <n v="38307.71"/>
        <n v="9214.91"/>
        <n v="25507.9"/>
        <n v="36409.03"/>
        <n v="19225.080000000002"/>
      </sharedItems>
    </cacheField>
    <cacheField name="Currency" numFmtId="0">
      <sharedItems count="4">
        <s v="INR"/>
        <s v="EUR"/>
        <s v="USD"/>
        <s v="Unknown"/>
      </sharedItems>
    </cacheField>
    <cacheField name="Tax %" numFmtId="1">
      <sharedItems containsSemiMixedTypes="0" containsString="0" containsNumber="1" containsInteger="1" minValue="0" maxValue="28"/>
    </cacheField>
    <cacheField name="Tax Amount" numFmtId="164">
      <sharedItems containsSemiMixedTypes="0" containsString="0" containsNumber="1" minValue="0" maxValue="23523.99"/>
    </cacheField>
    <cacheField name="Department" numFmtId="49">
      <sharedItems count="10">
        <s v="Finance"/>
        <s v="Legal"/>
        <s v="Marketing"/>
        <s v="Admin"/>
        <s v="Logistics"/>
        <s v="Procurement"/>
        <s v="IT"/>
        <s v="HR"/>
        <s v="Sales"/>
        <s v="Operations"/>
      </sharedItems>
    </cacheField>
    <cacheField name="Category" numFmtId="49">
      <sharedItems count="10">
        <s v="Maintenance"/>
        <s v="Travel &amp; Expenses"/>
        <s v="Consulting"/>
        <s v="Office Supplies"/>
        <s v="Freight &amp; Logistics"/>
        <s v="Raw Materials"/>
        <s v="Marketing"/>
        <s v="IT Services"/>
        <s v="Professional Services"/>
        <s v="Utilities"/>
      </sharedItems>
    </cacheField>
    <cacheField name="Approval Status" numFmtId="49">
      <sharedItems count="6">
        <s v="Unknown"/>
        <s v="On Hold"/>
        <s v="Approved"/>
        <s v="In Review"/>
        <s v="Pending"/>
        <s v="Rejected"/>
      </sharedItems>
    </cacheField>
    <cacheField name="Approver" numFmtId="49">
      <sharedItems count="8">
        <s v="J. D'Souza"/>
        <s v="R. Sharma"/>
        <s v="P. Nair"/>
        <s v="Unassigned"/>
        <s v="M. Khan"/>
        <s v="S. Iyer"/>
        <s v="K. Reddy"/>
        <s v="A. Mehta"/>
      </sharedItems>
    </cacheField>
    <cacheField name="Payment Status" numFmtId="0">
      <sharedItems count="7">
        <s v="Cancelled"/>
        <s v="Unpaid"/>
        <s v="Paid"/>
        <s v="Overdue"/>
        <s v="Pending"/>
        <s v="Unknown"/>
        <s v="Partial"/>
      </sharedItems>
    </cacheField>
    <cacheField name="Payment Date" numFmtId="165">
      <sharedItems containsNonDate="0" containsDate="1" containsString="0" containsBlank="1" minDate="2024-01-28T00:00:00" maxDate="2025-11-16T00:00:00" count="95">
        <m/>
        <d v="2024-11-20T00:00:00"/>
        <d v="2024-01-28T00:00:00"/>
        <d v="2025-08-29T00:00:00"/>
        <d v="2024-02-05T00:00:00"/>
        <d v="2025-08-08T00:00:00"/>
        <d v="2025-04-23T00:00:00"/>
        <d v="2025-10-17T00:00:00"/>
        <d v="2024-10-01T00:00:00"/>
        <d v="2025-01-19T00:00:00"/>
        <d v="2024-08-20T00:00:00"/>
        <d v="2025-04-14T00:00:00"/>
        <d v="2025-02-09T00:00:00"/>
        <d v="2025-05-24T00:00:00"/>
        <d v="2025-03-05T00:00:00"/>
        <d v="2025-07-26T00:00:00"/>
        <d v="2025-03-12T00:00:00"/>
        <d v="2025-04-03T00:00:00"/>
        <d v="2025-09-05T00:00:00"/>
        <d v="2024-08-29T00:00:00"/>
        <d v="2024-02-04T00:00:00"/>
        <d v="2025-10-18T00:00:00"/>
        <d v="2024-04-18T00:00:00"/>
        <d v="2024-04-08T00:00:00"/>
        <d v="2024-07-13T00:00:00"/>
        <d v="2025-04-09T00:00:00"/>
        <d v="2024-03-14T00:00:00"/>
        <d v="2025-03-21T00:00:00"/>
        <d v="2024-07-31T00:00:00"/>
        <d v="2025-08-02T00:00:00"/>
        <d v="2024-03-07T00:00:00"/>
        <d v="2025-09-16T00:00:00"/>
        <d v="2024-02-25T00:00:00"/>
        <d v="2024-02-19T00:00:00"/>
        <d v="2024-10-24T00:00:00"/>
        <d v="2024-06-19T00:00:00"/>
        <d v="2025-03-18T00:00:00"/>
        <d v="2024-08-19T00:00:00"/>
        <d v="2024-09-13T00:00:00"/>
        <d v="2025-10-10T00:00:00"/>
        <d v="2024-12-18T00:00:00"/>
        <d v="2024-12-03T00:00:00"/>
        <d v="2024-02-03T00:00:00"/>
        <d v="2024-12-09T00:00:00"/>
        <d v="2024-06-04T00:00:00"/>
        <d v="2025-06-29T00:00:00"/>
        <d v="2024-08-22T00:00:00"/>
        <d v="2025-06-17T00:00:00"/>
        <d v="2024-12-17T00:00:00"/>
        <d v="2025-01-15T00:00:00"/>
        <d v="2024-09-08T00:00:00"/>
        <d v="2025-06-30T00:00:00"/>
        <d v="2025-07-07T00:00:00"/>
        <d v="2025-01-05T00:00:00"/>
        <d v="2025-05-11T00:00:00"/>
        <d v="2025-03-19T00:00:00"/>
        <d v="2025-09-14T00:00:00"/>
        <d v="2024-08-14T00:00:00"/>
        <d v="2025-07-08T00:00:00"/>
        <d v="2025-08-18T00:00:00"/>
        <d v="2025-06-10T00:00:00"/>
        <d v="2025-09-15T00:00:00"/>
        <d v="2025-04-19T00:00:00"/>
        <d v="2025-08-03T00:00:00"/>
        <d v="2024-10-23T00:00:00"/>
        <d v="2025-06-14T00:00:00"/>
        <d v="2024-05-23T00:00:00"/>
        <d v="2024-05-11T00:00:00"/>
        <d v="2025-02-24T00:00:00"/>
        <d v="2024-08-06T00:00:00"/>
        <d v="2024-07-14T00:00:00"/>
        <d v="2024-02-13T00:00:00"/>
        <d v="2024-06-27T00:00:00"/>
        <d v="2025-04-07T00:00:00"/>
        <d v="2024-03-02T00:00:00"/>
        <d v="2024-07-01T00:00:00"/>
        <d v="2025-11-15T00:00:00"/>
        <d v="2024-08-18T00:00:00"/>
        <d v="2024-05-16T00:00:00"/>
        <d v="2024-05-01T00:00:00"/>
        <d v="2025-04-11T00:00:00"/>
        <d v="2025-11-10T00:00:00"/>
        <d v="2025-10-25T00:00:00"/>
        <d v="2025-01-14T00:00:00"/>
        <d v="2025-07-05T00:00:00"/>
        <d v="2025-04-12T00:00:00"/>
        <d v="2024-10-18T00:00:00"/>
        <d v="2025-08-07T00:00:00"/>
        <d v="2025-06-23T00:00:00"/>
        <d v="2024-03-06T00:00:00"/>
        <d v="2024-12-31T00:00:00"/>
        <d v="2024-07-15T00:00:00"/>
        <d v="2024-11-11T00:00:00"/>
        <d v="2024-07-19T00:00:00"/>
        <d v="2025-05-26T00:00:00"/>
      </sharedItems>
    </cacheField>
    <cacheField name="Payment Method" numFmtId="49">
      <sharedItems count="8">
        <s v="UPI"/>
        <s v="Bank Transfer"/>
        <s v="Unknown"/>
        <s v="NEFT"/>
        <s v="Wire Transfer"/>
        <s v="Credit Card"/>
        <s v="ACH"/>
        <s v="Cheque"/>
      </sharedItems>
    </cacheField>
    <cacheField name="Country" numFmtId="49">
      <sharedItems count="7">
        <s v="USA"/>
        <s v="UK"/>
        <s v="Unknown"/>
        <s v="UAE"/>
        <s v="Singapore"/>
        <s v="India"/>
        <s v="Germany"/>
      </sharedItems>
    </cacheField>
    <cacheField name="Months (Due Date)" numFmtId="0" databaseField="0">
      <fieldGroup base="4">
        <rangePr groupBy="months" startDate="2024-02-02T00:00:00" endDate="2025-12-09T00:00:00"/>
        <groupItems count="14">
          <s v="&lt;02/02/2024"/>
          <s v="Jan"/>
          <s v="Feb"/>
          <s v="Mar"/>
          <s v="Apr"/>
          <s v="May"/>
          <s v="Jun"/>
          <s v="Jul"/>
          <s v="Aug"/>
          <s v="Sep"/>
          <s v="Oct"/>
          <s v="Nov"/>
          <s v="Dec"/>
          <s v="&gt;09/12/2025"/>
        </groupItems>
      </fieldGroup>
    </cacheField>
  </cacheFields>
  <extLst>
    <ext xmlns:x14="http://schemas.microsoft.com/office/spreadsheetml/2009/9/main" uri="{725AE2AE-9491-48be-B2B4-4EB974FC3084}">
      <x14:pivotCacheDefinition pivotCacheId="1437958788"/>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0C9065-AA3D-41E7-A8B1-FB4DA3DE07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D4:E15" firstHeaderRow="1" firstDataRow="1" firstDataCol="1"/>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dataField="1" numFmtId="164" showAll="0"/>
    <pivotField showAll="0">
      <items count="5">
        <item x="1"/>
        <item x="0"/>
        <item x="3"/>
        <item x="2"/>
        <item t="default"/>
      </items>
    </pivotField>
    <pivotField numFmtId="1" showAll="0"/>
    <pivotField numFmtId="164" showAll="0"/>
    <pivotField axis="axisRow"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9"/>
  </rowFields>
  <rowItems count="11">
    <i>
      <x/>
    </i>
    <i>
      <x v="1"/>
    </i>
    <i>
      <x v="2"/>
    </i>
    <i>
      <x v="3"/>
    </i>
    <i>
      <x v="4"/>
    </i>
    <i>
      <x v="5"/>
    </i>
    <i>
      <x v="6"/>
    </i>
    <i>
      <x v="7"/>
    </i>
    <i>
      <x v="8"/>
    </i>
    <i>
      <x v="9"/>
    </i>
    <i t="grand">
      <x/>
    </i>
  </rowItems>
  <colItems count="1">
    <i/>
  </colItems>
  <dataFields count="1">
    <dataField name="Sum of Invoice Amount" fld="5" baseField="0" baseItem="0" numFmtId="166"/>
  </dataFields>
  <formats count="9">
    <format dxfId="39">
      <pivotArea outline="0" collapsedLevelsAreSubtotals="1" fieldPosition="0"/>
    </format>
    <format dxfId="38">
      <pivotArea type="all" dataOnly="0" outline="0" fieldPosition="0"/>
    </format>
    <format dxfId="37">
      <pivotArea outline="0" collapsedLevelsAreSubtotals="1" fieldPosition="0"/>
    </format>
    <format dxfId="36">
      <pivotArea field="9" type="button" dataOnly="0" labelOnly="1" outline="0" axis="axisRow" fieldPosition="0"/>
    </format>
    <format dxfId="35">
      <pivotArea dataOnly="0" labelOnly="1" fieldPosition="0">
        <references count="1">
          <reference field="9" count="0"/>
        </references>
      </pivotArea>
    </format>
    <format dxfId="34">
      <pivotArea dataOnly="0" labelOnly="1" grandRow="1" outline="0" fieldPosition="0"/>
    </format>
    <format dxfId="33">
      <pivotArea dataOnly="0" labelOnly="1" outline="0" axis="axisValues" fieldPosition="0"/>
    </format>
    <format dxfId="32">
      <pivotArea field="9" type="button" dataOnly="0" labelOnly="1" outline="0" axis="axisRow" fieldPosition="0"/>
    </format>
    <format dxfId="31">
      <pivotArea dataOnly="0" labelOnly="1" outline="0" axis="axisValues" fieldPosition="0"/>
    </format>
  </formats>
  <chartFormats count="1">
    <chartFormat chart="33" format="6" series="1">
      <pivotArea type="data" outline="0" fieldPosition="0">
        <references count="1">
          <reference field="4294967294" count="1" selected="0">
            <x v="0"/>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69A14D-438C-45B9-806E-511A0323E7D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K27" firstHeaderRow="1" firstDataRow="1" firstDataCol="1"/>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dataField="1"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showAll="0">
      <items count="8">
        <item x="0"/>
        <item x="3"/>
        <item x="2"/>
        <item x="6"/>
        <item x="4"/>
        <item x="5"/>
        <item x="1"/>
        <item t="default"/>
      </items>
    </pivotField>
    <pivotField showAll="0"/>
    <pivotField showAll="0"/>
    <pivotField axis="axisRow"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16"/>
  </rowFields>
  <rowItems count="8">
    <i>
      <x/>
    </i>
    <i>
      <x v="1"/>
    </i>
    <i>
      <x v="2"/>
    </i>
    <i>
      <x v="3"/>
    </i>
    <i>
      <x v="4"/>
    </i>
    <i>
      <x v="5"/>
    </i>
    <i>
      <x v="6"/>
    </i>
    <i t="grand">
      <x/>
    </i>
  </rowItems>
  <colItems count="1">
    <i/>
  </colItems>
  <dataFields count="1">
    <dataField name="Sum of Invoice Amount" fld="5" baseField="0" baseItem="0" numFmtId="166"/>
  </dataFields>
  <formats count="7">
    <format dxfId="46">
      <pivotArea outline="0" collapsedLevelsAreSubtotals="1" fieldPosition="0"/>
    </format>
    <format dxfId="45">
      <pivotArea type="all" dataOnly="0" outline="0" fieldPosition="0"/>
    </format>
    <format dxfId="44">
      <pivotArea outline="0" collapsedLevelsAreSubtotals="1" fieldPosition="0"/>
    </format>
    <format dxfId="43">
      <pivotArea field="16" type="button" dataOnly="0" labelOnly="1" outline="0" axis="axisRow" fieldPosition="0"/>
    </format>
    <format dxfId="42">
      <pivotArea dataOnly="0" labelOnly="1" fieldPosition="0">
        <references count="1">
          <reference field="16" count="0"/>
        </references>
      </pivotArea>
    </format>
    <format dxfId="41">
      <pivotArea dataOnly="0" labelOnly="1" grandRow="1" outline="0" fieldPosition="0"/>
    </format>
    <format dxfId="40">
      <pivotArea dataOnly="0" labelOnly="1" outline="0" axis="axisValues" fieldPosition="0"/>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09B624-D620-4D56-977E-1E348645B09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L13" firstHeaderRow="0" firstDataRow="1" firstDataCol="1"/>
  <pivotFields count="18">
    <pivotField dataField="1"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dataField="1"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items count="7">
        <item x="2"/>
        <item x="3"/>
        <item x="1"/>
        <item x="4"/>
        <item x="5"/>
        <item x="0"/>
        <item t="default"/>
      </items>
    </pivotField>
    <pivotField showAll="0"/>
    <pivotField showAll="0">
      <items count="8">
        <item x="0"/>
        <item x="3"/>
        <item x="2"/>
        <item x="6"/>
        <item x="4"/>
        <item x="5"/>
        <item x="1"/>
        <item t="default"/>
      </items>
    </pivotField>
    <pivotField showAll="0"/>
    <pivotField axis="axisRow" showAll="0">
      <items count="9">
        <item x="6"/>
        <item x="1"/>
        <item x="7"/>
        <item x="5"/>
        <item x="3"/>
        <item x="2"/>
        <item x="0"/>
        <item x="4"/>
        <item t="default"/>
      </items>
    </pivotField>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15"/>
  </rowFields>
  <rowItems count="9">
    <i>
      <x/>
    </i>
    <i>
      <x v="1"/>
    </i>
    <i>
      <x v="2"/>
    </i>
    <i>
      <x v="3"/>
    </i>
    <i>
      <x v="4"/>
    </i>
    <i>
      <x v="5"/>
    </i>
    <i>
      <x v="6"/>
    </i>
    <i>
      <x v="7"/>
    </i>
    <i t="grand">
      <x/>
    </i>
  </rowItems>
  <colFields count="1">
    <field x="-2"/>
  </colFields>
  <colItems count="2">
    <i>
      <x/>
    </i>
    <i i="1">
      <x v="1"/>
    </i>
  </colItems>
  <dataFields count="2">
    <dataField name="Count of Invoice ID" fld="0" subtotal="count" baseField="0" baseItem="0"/>
    <dataField name="Sum of Invoice Amount" fld="5" baseField="0" baseItem="0" numFmtId="166"/>
  </dataFields>
  <formats count="7">
    <format dxfId="53">
      <pivotArea outline="0" collapsedLevelsAreSubtotals="1" fieldPosition="0">
        <references count="1">
          <reference field="4294967294" count="1" selected="0">
            <x v="1"/>
          </reference>
        </references>
      </pivotArea>
    </format>
    <format dxfId="52">
      <pivotArea type="all" dataOnly="0" outline="0" fieldPosition="0"/>
    </format>
    <format dxfId="51">
      <pivotArea outline="0" collapsedLevelsAreSubtotals="1" fieldPosition="0"/>
    </format>
    <format dxfId="50">
      <pivotArea field="15" type="button" dataOnly="0" labelOnly="1" outline="0" axis="axisRow" fieldPosition="0"/>
    </format>
    <format dxfId="49">
      <pivotArea dataOnly="0" labelOnly="1" fieldPosition="0">
        <references count="1">
          <reference field="15" count="0"/>
        </references>
      </pivotArea>
    </format>
    <format dxfId="48">
      <pivotArea dataOnly="0" labelOnly="1" grandRow="1" outline="0" fieldPosition="0"/>
    </format>
    <format dxfId="47">
      <pivotArea dataOnly="0" labelOnly="1" outline="0" fieldPosition="0">
        <references count="1">
          <reference field="4294967294" count="2">
            <x v="0"/>
            <x v="1"/>
          </reference>
        </references>
      </pivotArea>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76A48-C095-437D-AF17-208DB344850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9:E26" firstHeaderRow="1" firstDataRow="1" firstDataCol="1"/>
  <pivotFields count="18">
    <pivotField dataField="1"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axis="axisRow" showAll="0">
      <items count="7">
        <item x="2"/>
        <item x="3"/>
        <item x="1"/>
        <item x="4"/>
        <item x="5"/>
        <item x="0"/>
        <item t="default"/>
      </items>
    </pivotField>
    <pivotField showAll="0"/>
    <pivotField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11"/>
  </rowFields>
  <rowItems count="7">
    <i>
      <x/>
    </i>
    <i>
      <x v="1"/>
    </i>
    <i>
      <x v="2"/>
    </i>
    <i>
      <x v="3"/>
    </i>
    <i>
      <x v="4"/>
    </i>
    <i>
      <x v="5"/>
    </i>
    <i t="grand">
      <x/>
    </i>
  </rowItems>
  <colItems count="1">
    <i/>
  </colItems>
  <dataFields count="1">
    <dataField name="Count of Invoice ID" fld="0" subtotal="count" baseField="0" baseItem="0"/>
  </dataFields>
  <formats count="6">
    <format dxfId="59">
      <pivotArea type="all" dataOnly="0" outline="0" fieldPosition="0"/>
    </format>
    <format dxfId="58">
      <pivotArea outline="0" collapsedLevelsAreSubtotals="1" fieldPosition="0"/>
    </format>
    <format dxfId="57">
      <pivotArea field="11" type="button" dataOnly="0" labelOnly="1" outline="0" axis="axisRow" fieldPosition="0"/>
    </format>
    <format dxfId="56">
      <pivotArea dataOnly="0" labelOnly="1" fieldPosition="0">
        <references count="1">
          <reference field="11" count="0"/>
        </references>
      </pivotArea>
    </format>
    <format dxfId="55">
      <pivotArea dataOnly="0" labelOnly="1" grandRow="1" outline="0" fieldPosition="0"/>
    </format>
    <format dxfId="54">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3E0799-1571-4E62-856C-F9ACB536E7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B32" firstHeaderRow="1" firstDataRow="1" firstDataCol="1"/>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dataField="1"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axis="axisRow" showAll="0">
      <items count="15">
        <item h="1" x="0"/>
        <item x="1"/>
        <item x="2"/>
        <item x="3"/>
        <item x="4"/>
        <item x="5"/>
        <item x="6"/>
        <item x="7"/>
        <item x="8"/>
        <item x="9"/>
        <item x="10"/>
        <item x="11"/>
        <item x="12"/>
        <item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Invoice Amount" fld="5" baseField="0" baseItem="0" numFmtId="166"/>
  </dataFields>
  <formats count="6">
    <format dxfId="65">
      <pivotArea outline="0" collapsedLevelsAreSubtotals="1" fieldPosition="0"/>
    </format>
    <format dxfId="64">
      <pivotArea type="all" dataOnly="0" outline="0" fieldPosition="0"/>
    </format>
    <format dxfId="63">
      <pivotArea outline="0" collapsedLevelsAreSubtotals="1" fieldPosition="0"/>
    </format>
    <format dxfId="62">
      <pivotArea dataOnly="0" labelOnly="1" grandRow="1" outline="0" fieldPosition="0"/>
    </format>
    <format dxfId="61">
      <pivotArea dataOnly="0" labelOnly="1" outline="0" axis="axisValues" fieldPosition="0"/>
    </format>
    <format dxfId="60">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0A8347-51AA-455A-9715-8CBAD56CF28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G4:H15" firstHeaderRow="1" firstDataRow="1" firstDataCol="1"/>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numFmtId="164" showAll="0"/>
    <pivotField showAll="0">
      <items count="5">
        <item x="1"/>
        <item x="0"/>
        <item x="3"/>
        <item x="2"/>
        <item t="default"/>
      </items>
    </pivotField>
    <pivotField numFmtId="1" showAll="0"/>
    <pivotField numFmtId="164" showAll="0"/>
    <pivotField dataField="1" showAll="0">
      <items count="11">
        <item x="3"/>
        <item x="0"/>
        <item x="7"/>
        <item x="6"/>
        <item x="1"/>
        <item x="4"/>
        <item x="2"/>
        <item x="9"/>
        <item x="5"/>
        <item x="8"/>
        <item t="default"/>
      </items>
    </pivotField>
    <pivotField axis="axisRow" showAll="0">
      <items count="11">
        <item x="2"/>
        <item x="4"/>
        <item x="7"/>
        <item x="0"/>
        <item x="6"/>
        <item x="3"/>
        <item x="8"/>
        <item x="5"/>
        <item x="1"/>
        <item x="9"/>
        <item t="default"/>
      </items>
    </pivotField>
    <pivotField showAll="0"/>
    <pivotField showAll="0"/>
    <pivotField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10"/>
  </rowFields>
  <rowItems count="11">
    <i>
      <x/>
    </i>
    <i>
      <x v="1"/>
    </i>
    <i>
      <x v="2"/>
    </i>
    <i>
      <x v="3"/>
    </i>
    <i>
      <x v="4"/>
    </i>
    <i>
      <x v="5"/>
    </i>
    <i>
      <x v="6"/>
    </i>
    <i>
      <x v="7"/>
    </i>
    <i>
      <x v="8"/>
    </i>
    <i>
      <x v="9"/>
    </i>
    <i t="grand">
      <x/>
    </i>
  </rowItems>
  <colItems count="1">
    <i/>
  </colItems>
  <dataFields count="1">
    <dataField name="Count of Department" fld="9" subtotal="count" baseField="0" baseItem="0"/>
  </dataFields>
  <formats count="5">
    <format dxfId="70">
      <pivotArea type="all" dataOnly="0" outline="0" fieldPosition="0"/>
    </format>
    <format dxfId="69">
      <pivotArea outline="0" collapsedLevelsAreSubtotals="1" fieldPosition="0"/>
    </format>
    <format dxfId="68">
      <pivotArea field="10" type="button" dataOnly="0" labelOnly="1" outline="0" axis="axisRow" fieldPosition="0"/>
    </format>
    <format dxfId="67">
      <pivotArea dataOnly="0" labelOnly="1" grandRow="1" outline="0" fieldPosition="0"/>
    </format>
    <format dxfId="66">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02EAA7-17C3-461B-991B-89C933656C2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9:H27" firstHeaderRow="1" firstDataRow="1" firstDataCol="1"/>
  <pivotFields count="18">
    <pivotField dataField="1"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axis="axisRow"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i>
    <i>
      <x v="1"/>
    </i>
    <i>
      <x v="2"/>
    </i>
    <i>
      <x v="3"/>
    </i>
    <i>
      <x v="4"/>
    </i>
    <i>
      <x v="5"/>
    </i>
    <i>
      <x v="6"/>
    </i>
    <i t="grand">
      <x/>
    </i>
  </rowItems>
  <colItems count="1">
    <i/>
  </colItems>
  <dataFields count="1">
    <dataField name="Count of Invoice ID" fld="0" subtotal="count" baseField="0" baseItem="0"/>
  </dataFields>
  <formats count="6">
    <format dxfId="76">
      <pivotArea type="all" dataOnly="0" outline="0" fieldPosition="0"/>
    </format>
    <format dxfId="75">
      <pivotArea outline="0" collapsedLevelsAreSubtotals="1" fieldPosition="0"/>
    </format>
    <format dxfId="74">
      <pivotArea field="13" type="button" dataOnly="0" labelOnly="1" outline="0" axis="axisRow" fieldPosition="0"/>
    </format>
    <format dxfId="73">
      <pivotArea dataOnly="0" labelOnly="1" fieldPosition="0">
        <references count="1">
          <reference field="13" count="0"/>
        </references>
      </pivotArea>
    </format>
    <format dxfId="72">
      <pivotArea dataOnly="0" labelOnly="1" grandRow="1" outline="0" fieldPosition="0"/>
    </format>
    <format dxfId="71">
      <pivotArea dataOnly="0" labelOnly="1" outline="0" axis="axisValues" fieldPosition="0"/>
    </format>
  </formats>
  <chartFormats count="9">
    <chartFormat chart="7"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3" count="1" selected="0">
            <x v="0"/>
          </reference>
        </references>
      </pivotArea>
    </chartFormat>
    <chartFormat chart="9" format="11">
      <pivotArea type="data" outline="0" fieldPosition="0">
        <references count="2">
          <reference field="4294967294" count="1" selected="0">
            <x v="0"/>
          </reference>
          <reference field="13" count="1" selected="0">
            <x v="1"/>
          </reference>
        </references>
      </pivotArea>
    </chartFormat>
    <chartFormat chart="9" format="12">
      <pivotArea type="data" outline="0" fieldPosition="0">
        <references count="2">
          <reference field="4294967294" count="1" selected="0">
            <x v="0"/>
          </reference>
          <reference field="13" count="1" selected="0">
            <x v="2"/>
          </reference>
        </references>
      </pivotArea>
    </chartFormat>
    <chartFormat chart="9" format="13">
      <pivotArea type="data" outline="0" fieldPosition="0">
        <references count="2">
          <reference field="4294967294" count="1" selected="0">
            <x v="0"/>
          </reference>
          <reference field="13" count="1" selected="0">
            <x v="3"/>
          </reference>
        </references>
      </pivotArea>
    </chartFormat>
    <chartFormat chart="9" format="14">
      <pivotArea type="data" outline="0" fieldPosition="0">
        <references count="2">
          <reference field="4294967294" count="1" selected="0">
            <x v="0"/>
          </reference>
          <reference field="13" count="1" selected="0">
            <x v="4"/>
          </reference>
        </references>
      </pivotArea>
    </chartFormat>
    <chartFormat chart="9" format="15">
      <pivotArea type="data" outline="0" fieldPosition="0">
        <references count="2">
          <reference field="4294967294" count="1" selected="0">
            <x v="0"/>
          </reference>
          <reference field="13" count="1" selected="0">
            <x v="5"/>
          </reference>
        </references>
      </pivotArea>
    </chartFormat>
    <chartFormat chart="9" format="16">
      <pivotArea type="data" outline="0" fieldPosition="0">
        <references count="2">
          <reference field="4294967294" count="1" selected="0">
            <x v="0"/>
          </reference>
          <reference field="13" count="1" selected="0">
            <x v="6"/>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D989D7-4AAB-436A-B50C-67A1ADEC900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location ref="A4:B15" firstHeaderRow="1" firstDataRow="1" firstDataCol="1"/>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axis="axisRow" showAll="0" measureFilter="1">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dataField="1"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h="1" x="0"/>
        <item x="1"/>
        <item x="2"/>
        <item x="3"/>
        <item x="4"/>
        <item x="5"/>
        <item x="6"/>
        <item x="7"/>
        <item x="8"/>
        <item x="9"/>
        <item x="10"/>
        <item x="11"/>
        <item x="12"/>
        <item x="13"/>
        <item t="default"/>
      </items>
    </pivotField>
  </pivotFields>
  <rowFields count="1">
    <field x="1"/>
  </rowFields>
  <rowItems count="11">
    <i>
      <x v="3"/>
    </i>
    <i>
      <x v="5"/>
    </i>
    <i>
      <x v="6"/>
    </i>
    <i>
      <x v="8"/>
    </i>
    <i>
      <x v="9"/>
    </i>
    <i>
      <x v="11"/>
    </i>
    <i>
      <x v="13"/>
    </i>
    <i>
      <x v="15"/>
    </i>
    <i>
      <x v="16"/>
    </i>
    <i>
      <x v="17"/>
    </i>
    <i t="grand">
      <x/>
    </i>
  </rowItems>
  <colItems count="1">
    <i/>
  </colItems>
  <dataFields count="1">
    <dataField name="Sum of Invoice Amount" fld="5" baseField="0" baseItem="0" numFmtId="164"/>
  </dataFields>
  <formats count="6">
    <format dxfId="82">
      <pivotArea outline="0" collapsedLevelsAreSubtotals="1" fieldPosition="0"/>
    </format>
    <format dxfId="81">
      <pivotArea type="all" dataOnly="0" outline="0" fieldPosition="0"/>
    </format>
    <format dxfId="80">
      <pivotArea outline="0" collapsedLevelsAreSubtotals="1" fieldPosition="0"/>
    </format>
    <format dxfId="79">
      <pivotArea dataOnly="0" labelOnly="1" grandRow="1" outline="0" fieldPosition="0"/>
    </format>
    <format dxfId="78">
      <pivotArea dataOnly="0" labelOnly="1" outline="0" axis="axisValues" fieldPosition="0"/>
    </format>
    <format dxfId="77">
      <pivotArea dataOnly="0" labelOnly="1" outline="0" axis="axisValues" fieldPosition="0"/>
    </format>
  </formats>
  <chartFormats count="2">
    <chartFormat chart="17"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Dark28"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373F20-969E-484F-84CE-3963626A0667}"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8:A9" firstHeaderRow="1" firstDataRow="1" firstDataCol="0"/>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dataField="1"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Invoice Amount" fld="5" subtotal="average" baseField="0" baseItem="0" numFmtId="167"/>
  </dataFields>
  <formats count="1">
    <format dxfId="22">
      <pivotArea outline="0" collapsedLevelsAreSubtotals="1" fieldPosition="0"/>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364033-5130-4F75-A5E1-B8F6C733C35D}"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18">
    <pivotField dataField="1"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Invoice ID" fld="0" subtotal="count" baseField="0" baseItem="0"/>
  </dataField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7D73C3-B003-44EB-8756-728EA7E73B57}"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A5" firstHeaderRow="1" firstDataRow="1" firstDataCol="0"/>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dataField="1"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Invoice Amount" fld="5" baseField="0" baseItem="0" numFmtId="167"/>
  </dataFields>
  <formats count="1">
    <format dxfId="23">
      <pivotArea outline="0" collapsedLevelsAreSubtotals="1" fieldPosition="0"/>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44B6ED-0281-44A3-9734-042AD357BECD}" name="PivotTable2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11" firstHeaderRow="1" firstDataRow="1" firstDataCol="1"/>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dataField="1"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axis="axisRow"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i>
    <i>
      <x v="1"/>
    </i>
    <i>
      <x v="2"/>
    </i>
    <i>
      <x v="3"/>
    </i>
    <i>
      <x v="4"/>
    </i>
    <i>
      <x v="5"/>
    </i>
    <i>
      <x v="6"/>
    </i>
    <i t="grand">
      <x/>
    </i>
  </rowItems>
  <colItems count="1">
    <i/>
  </colItems>
  <dataFields count="1">
    <dataField name="Sum of Invoice Amount" fld="5" baseField="0" baseItem="0" numFmtId="167"/>
  </dataFields>
  <formats count="1">
    <format dxfId="24">
      <pivotArea outline="0" collapsedLevelsAreSubtotals="1" fieldPosition="0"/>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DC8A3C-5AE0-406A-81F5-A8F2C3D37E97}"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E11" firstHeaderRow="1" firstDataRow="1" firstDataCol="1"/>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dataField="1" numFmtId="164" showAll="0"/>
    <pivotField showAll="0">
      <items count="5">
        <item x="1"/>
        <item x="0"/>
        <item x="3"/>
        <item x="2"/>
        <item t="default"/>
      </items>
    </pivotField>
    <pivotField numFmtId="1" showAll="0"/>
    <pivotField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axis="axisRow"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i>
    <i>
      <x v="1"/>
    </i>
    <i>
      <x v="2"/>
    </i>
    <i>
      <x v="3"/>
    </i>
    <i>
      <x v="4"/>
    </i>
    <i>
      <x v="5"/>
    </i>
    <i>
      <x v="6"/>
    </i>
    <i t="grand">
      <x/>
    </i>
  </rowItems>
  <colItems count="1">
    <i/>
  </colItems>
  <dataFields count="1">
    <dataField name="Count of Invoice Amount" fld="5" subtotal="count" baseField="0" baseItem="0" numFmtId="2"/>
  </dataFields>
  <formats count="5">
    <format dxfId="29">
      <pivotArea field="13" type="button" dataOnly="0" labelOnly="1" outline="0" axis="axisRow" fieldPosition="0"/>
    </format>
    <format dxfId="28">
      <pivotArea dataOnly="0" labelOnly="1" fieldPosition="0">
        <references count="1">
          <reference field="13" count="0"/>
        </references>
      </pivotArea>
    </format>
    <format dxfId="27">
      <pivotArea dataOnly="0" labelOnly="1" grandRow="1" outline="0" fieldPosition="0"/>
    </format>
    <format dxfId="26">
      <pivotArea outline="0" collapsedLevelsAreSubtotals="1" fieldPosition="0"/>
    </format>
    <format dxfId="25">
      <pivotArea dataOnly="0" labelOnly="1" outline="0" axis="axisValues" fieldPosition="0"/>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B49A476-4DBA-4643-9559-93CC4FCC1F5D}"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6:A17" firstHeaderRow="1" firstDataRow="1" firstDataCol="0"/>
  <pivotFields count="18">
    <pivotField showAll="0">
      <items count="444">
        <item x="0"/>
        <item x="1"/>
        <item x="2"/>
        <item x="3"/>
        <item x="4"/>
        <item x="5"/>
        <item x="6"/>
        <item x="7"/>
        <item x="8"/>
        <item x="9"/>
        <item x="10"/>
        <item x="11"/>
        <item x="12"/>
        <item x="13"/>
        <item x="14"/>
        <item x="15"/>
        <item x="16"/>
        <item x="18"/>
        <item x="19"/>
        <item x="20"/>
        <item x="21"/>
        <item x="22"/>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7"/>
        <item x="23"/>
        <item x="31"/>
        <item x="108"/>
        <item x="164"/>
        <item x="205"/>
        <item x="361"/>
        <item x="363"/>
        <item t="default"/>
      </items>
    </pivotField>
    <pivotField showAll="0">
      <items count="21">
        <item x="4"/>
        <item x="11"/>
        <item x="5"/>
        <item x="0"/>
        <item x="18"/>
        <item x="9"/>
        <item x="3"/>
        <item x="8"/>
        <item x="14"/>
        <item x="15"/>
        <item x="10"/>
        <item x="7"/>
        <item x="13"/>
        <item x="16"/>
        <item x="12"/>
        <item x="6"/>
        <item x="17"/>
        <item x="2"/>
        <item x="1"/>
        <item x="19"/>
        <item t="default"/>
      </items>
    </pivotField>
    <pivotField showAll="0"/>
    <pivotField showAll="0"/>
    <pivotField showAll="0">
      <items count="220">
        <item x="8"/>
        <item x="217"/>
        <item x="60"/>
        <item x="86"/>
        <item x="208"/>
        <item x="138"/>
        <item x="63"/>
        <item x="116"/>
        <item x="137"/>
        <item x="204"/>
        <item x="140"/>
        <item x="194"/>
        <item x="187"/>
        <item x="5"/>
        <item x="162"/>
        <item x="90"/>
        <item x="201"/>
        <item x="139"/>
        <item x="199"/>
        <item x="143"/>
        <item x="135"/>
        <item x="101"/>
        <item x="115"/>
        <item x="209"/>
        <item x="181"/>
        <item x="105"/>
        <item x="129"/>
        <item x="154"/>
        <item x="157"/>
        <item x="212"/>
        <item x="76"/>
        <item x="126"/>
        <item x="0"/>
        <item x="26"/>
        <item x="40"/>
        <item x="164"/>
        <item x="186"/>
        <item x="71"/>
        <item x="111"/>
        <item x="41"/>
        <item x="93"/>
        <item x="66"/>
        <item x="65"/>
        <item x="124"/>
        <item x="99"/>
        <item x="136"/>
        <item x="73"/>
        <item x="7"/>
        <item x="166"/>
        <item x="216"/>
        <item x="127"/>
        <item x="174"/>
        <item x="142"/>
        <item x="211"/>
        <item x="38"/>
        <item x="30"/>
        <item x="75"/>
        <item x="3"/>
        <item x="107"/>
        <item x="198"/>
        <item x="156"/>
        <item x="169"/>
        <item x="82"/>
        <item x="218"/>
        <item x="52"/>
        <item x="167"/>
        <item x="77"/>
        <item x="91"/>
        <item x="109"/>
        <item x="120"/>
        <item x="114"/>
        <item x="1"/>
        <item x="29"/>
        <item x="4"/>
        <item x="182"/>
        <item x="149"/>
        <item x="190"/>
        <item x="80"/>
        <item x="205"/>
        <item x="24"/>
        <item x="22"/>
        <item x="134"/>
        <item x="178"/>
        <item x="2"/>
        <item x="36"/>
        <item x="214"/>
        <item x="43"/>
        <item x="113"/>
        <item x="193"/>
        <item x="69"/>
        <item x="81"/>
        <item x="28"/>
        <item x="210"/>
        <item x="202"/>
        <item x="215"/>
        <item x="42"/>
        <item x="31"/>
        <item x="161"/>
        <item x="68"/>
        <item x="163"/>
        <item x="175"/>
        <item x="13"/>
        <item x="74"/>
        <item x="100"/>
        <item x="179"/>
        <item x="128"/>
        <item x="185"/>
        <item x="192"/>
        <item x="183"/>
        <item x="88"/>
        <item x="207"/>
        <item x="89"/>
        <item x="34"/>
        <item x="184"/>
        <item x="25"/>
        <item x="14"/>
        <item x="87"/>
        <item x="130"/>
        <item x="94"/>
        <item x="195"/>
        <item x="172"/>
        <item x="51"/>
        <item x="188"/>
        <item x="141"/>
        <item x="84"/>
        <item x="165"/>
        <item x="200"/>
        <item x="131"/>
        <item x="79"/>
        <item x="159"/>
        <item x="47"/>
        <item x="123"/>
        <item x="55"/>
        <item x="102"/>
        <item x="39"/>
        <item x="33"/>
        <item x="57"/>
        <item x="122"/>
        <item x="72"/>
        <item x="206"/>
        <item x="148"/>
        <item x="177"/>
        <item x="37"/>
        <item x="213"/>
        <item x="180"/>
        <item x="83"/>
        <item x="170"/>
        <item x="95"/>
        <item x="67"/>
        <item x="133"/>
        <item x="168"/>
        <item x="32"/>
        <item x="108"/>
        <item x="173"/>
        <item x="147"/>
        <item x="18"/>
        <item x="53"/>
        <item x="78"/>
        <item x="59"/>
        <item x="97"/>
        <item x="106"/>
        <item x="12"/>
        <item x="118"/>
        <item x="160"/>
        <item x="44"/>
        <item x="54"/>
        <item x="152"/>
        <item x="112"/>
        <item x="150"/>
        <item x="121"/>
        <item x="10"/>
        <item x="56"/>
        <item x="158"/>
        <item x="17"/>
        <item x="132"/>
        <item x="23"/>
        <item x="64"/>
        <item x="171"/>
        <item x="98"/>
        <item x="62"/>
        <item x="61"/>
        <item x="104"/>
        <item x="197"/>
        <item x="151"/>
        <item x="20"/>
        <item x="70"/>
        <item x="125"/>
        <item x="117"/>
        <item x="35"/>
        <item x="49"/>
        <item x="19"/>
        <item x="48"/>
        <item x="27"/>
        <item x="119"/>
        <item x="45"/>
        <item x="92"/>
        <item x="145"/>
        <item x="15"/>
        <item x="196"/>
        <item x="103"/>
        <item x="50"/>
        <item x="11"/>
        <item x="189"/>
        <item x="9"/>
        <item x="58"/>
        <item x="110"/>
        <item x="85"/>
        <item x="6"/>
        <item x="96"/>
        <item x="191"/>
        <item x="146"/>
        <item x="46"/>
        <item x="153"/>
        <item x="176"/>
        <item x="203"/>
        <item x="155"/>
        <item x="144"/>
        <item x="16"/>
        <item x="21"/>
        <item t="default"/>
      </items>
    </pivotField>
    <pivotField numFmtId="164" showAll="0"/>
    <pivotField showAll="0">
      <items count="5">
        <item x="1"/>
        <item x="0"/>
        <item x="3"/>
        <item x="2"/>
        <item t="default"/>
      </items>
    </pivotField>
    <pivotField numFmtId="1" showAll="0"/>
    <pivotField dataField="1" numFmtId="164" showAll="0"/>
    <pivotField showAll="0">
      <items count="11">
        <item x="3"/>
        <item x="0"/>
        <item x="7"/>
        <item x="6"/>
        <item x="1"/>
        <item x="4"/>
        <item x="2"/>
        <item x="9"/>
        <item x="5"/>
        <item x="8"/>
        <item t="default"/>
      </items>
    </pivotField>
    <pivotField showAll="0">
      <items count="11">
        <item x="2"/>
        <item x="4"/>
        <item x="7"/>
        <item x="0"/>
        <item x="6"/>
        <item x="3"/>
        <item x="8"/>
        <item x="5"/>
        <item x="1"/>
        <item x="9"/>
        <item t="default"/>
      </items>
    </pivotField>
    <pivotField showAll="0"/>
    <pivotField showAll="0"/>
    <pivotField showAll="0">
      <items count="8">
        <item x="0"/>
        <item x="3"/>
        <item x="2"/>
        <item x="6"/>
        <item x="4"/>
        <item x="5"/>
        <item x="1"/>
        <item t="default"/>
      </items>
    </pivotField>
    <pivotField showAll="0"/>
    <pivotField showAll="0"/>
    <pivotField showAll="0">
      <items count="8">
        <item x="6"/>
        <item x="5"/>
        <item x="4"/>
        <item x="3"/>
        <item x="1"/>
        <item x="2"/>
        <item x="0"/>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ax Amount" fld="8" baseField="0" baseItem="0" numFmtId="167"/>
  </dataFields>
  <formats count="1">
    <format dxfId="30">
      <pivotArea outline="0" collapsedLevelsAreSubtotals="1" fieldPosition="0"/>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E52453-1B8F-49C0-9172-5F4A082BAE6B}" sourceName="Category">
  <pivotTables>
    <pivotTable tabId="7" name="PivotTable19"/>
    <pivotTable tabId="7" name="PivotTable21"/>
    <pivotTable tabId="7" name="PivotTable22"/>
    <pivotTable tabId="7" name="PivotTable23"/>
    <pivotTable tabId="7" name="PivotTable24"/>
    <pivotTable tabId="7" name="PivotTable29"/>
    <pivotTable tabId="13" name="PivotTable9"/>
    <pivotTable tabId="13" name="PivotTable8"/>
    <pivotTable tabId="13" name="PivotTable4"/>
    <pivotTable tabId="13" name="PivotTable10"/>
    <pivotTable tabId="13" name="PivotTable5"/>
    <pivotTable tabId="13" name="PivotTable7"/>
    <pivotTable tabId="13" name="PivotTable13"/>
    <pivotTable tabId="13" name="PivotTable1"/>
  </pivotTables>
  <data>
    <tabular pivotCacheId="1437958788">
      <items count="10">
        <i x="2" s="1"/>
        <i x="4" s="1"/>
        <i x="7" s="1"/>
        <i x="0" s="1"/>
        <i x="6" s="1"/>
        <i x="3" s="1"/>
        <i x="8" s="1"/>
        <i x="5" s="1"/>
        <i x="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729323FF-23BA-4C7D-83F0-7FDB7AF42585}" sourceName="Vendor Name">
  <pivotTables>
    <pivotTable tabId="7" name="PivotTable19"/>
    <pivotTable tabId="7" name="PivotTable21"/>
    <pivotTable tabId="7" name="PivotTable22"/>
    <pivotTable tabId="7" name="PivotTable23"/>
    <pivotTable tabId="7" name="PivotTable24"/>
    <pivotTable tabId="7" name="PivotTable29"/>
    <pivotTable tabId="13" name="PivotTable9"/>
    <pivotTable tabId="13" name="PivotTable8"/>
    <pivotTable tabId="13" name="PivotTable4"/>
    <pivotTable tabId="13" name="PivotTable10"/>
    <pivotTable tabId="13" name="PivotTable5"/>
    <pivotTable tabId="13" name="PivotTable7"/>
    <pivotTable tabId="13" name="PivotTable13"/>
    <pivotTable tabId="13" name="PivotTable1"/>
  </pivotTables>
  <data>
    <tabular pivotCacheId="1437958788">
      <items count="20">
        <i x="4" s="1"/>
        <i x="11" s="1"/>
        <i x="5" s="1"/>
        <i x="0" s="1"/>
        <i x="18" s="1"/>
        <i x="9" s="1"/>
        <i x="3" s="1"/>
        <i x="8" s="1"/>
        <i x="14" s="1"/>
        <i x="15" s="1"/>
        <i x="10" s="1"/>
        <i x="7" s="1"/>
        <i x="13" s="1"/>
        <i x="16" s="1"/>
        <i x="12" s="1"/>
        <i x="6" s="1"/>
        <i x="17" s="1"/>
        <i x="2" s="1"/>
        <i x="1"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6B363F3F-8DBA-4712-BAE6-D6492CF6B634}" sourceName="Payment Status">
  <pivotTables>
    <pivotTable tabId="7" name="PivotTable19"/>
    <pivotTable tabId="7" name="PivotTable21"/>
    <pivotTable tabId="7" name="PivotTable22"/>
    <pivotTable tabId="7" name="PivotTable23"/>
    <pivotTable tabId="7" name="PivotTable24"/>
    <pivotTable tabId="7" name="PivotTable29"/>
    <pivotTable tabId="13" name="PivotTable9"/>
    <pivotTable tabId="13" name="PivotTable8"/>
    <pivotTable tabId="13" name="PivotTable4"/>
    <pivotTable tabId="13" name="PivotTable10"/>
    <pivotTable tabId="13" name="PivotTable5"/>
    <pivotTable tabId="13" name="PivotTable7"/>
    <pivotTable tabId="13" name="PivotTable13"/>
    <pivotTable tabId="13" name="PivotTable1"/>
  </pivotTables>
  <data>
    <tabular pivotCacheId="1437958788">
      <items count="7">
        <i x="0" s="1"/>
        <i x="3" s="1"/>
        <i x="2" s="1"/>
        <i x="6" s="1"/>
        <i x="4"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C6A414F9-DD27-4749-B62B-07DEFB6C63C3}" sourceName="Currency">
  <pivotTables>
    <pivotTable tabId="7" name="PivotTable19"/>
    <pivotTable tabId="7" name="PivotTable21"/>
    <pivotTable tabId="7" name="PivotTable22"/>
    <pivotTable tabId="7" name="PivotTable23"/>
    <pivotTable tabId="7" name="PivotTable24"/>
    <pivotTable tabId="7" name="PivotTable29"/>
    <pivotTable tabId="13" name="PivotTable9"/>
    <pivotTable tabId="13" name="PivotTable8"/>
    <pivotTable tabId="13" name="PivotTable4"/>
    <pivotTable tabId="13" name="PivotTable10"/>
    <pivotTable tabId="13" name="PivotTable5"/>
    <pivotTable tabId="13" name="PivotTable7"/>
    <pivotTable tabId="13" name="PivotTable13"/>
    <pivotTable tabId="13" name="PivotTable1"/>
  </pivotTables>
  <data>
    <tabular pivotCacheId="1437958788">
      <items count="4">
        <i x="1"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8C06721-F3E2-4E4F-A226-C334643F13BF}" sourceName="Country">
  <pivotTables>
    <pivotTable tabId="7" name="PivotTable19"/>
    <pivotTable tabId="7" name="PivotTable21"/>
    <pivotTable tabId="7" name="PivotTable22"/>
    <pivotTable tabId="7" name="PivotTable23"/>
    <pivotTable tabId="7" name="PivotTable24"/>
    <pivotTable tabId="7" name="PivotTable29"/>
    <pivotTable tabId="13" name="PivotTable9"/>
    <pivotTable tabId="13" name="PivotTable8"/>
    <pivotTable tabId="13" name="PivotTable4"/>
    <pivotTable tabId="13" name="PivotTable10"/>
    <pivotTable tabId="13" name="PivotTable5"/>
    <pivotTable tabId="13" name="PivotTable7"/>
    <pivotTable tabId="13" name="PivotTable13"/>
    <pivotTable tabId="13" name="PivotTable1"/>
  </pivotTables>
  <data>
    <tabular pivotCacheId="1437958788">
      <items count="7">
        <i x="6" s="1"/>
        <i x="5" s="1"/>
        <i x="4" s="1"/>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850E31D-6AF5-42CE-A090-87527D7A9C83}" sourceName="Department">
  <pivotTables>
    <pivotTable tabId="7" name="PivotTable19"/>
    <pivotTable tabId="7" name="PivotTable21"/>
    <pivotTable tabId="7" name="PivotTable22"/>
    <pivotTable tabId="7" name="PivotTable23"/>
    <pivotTable tabId="7" name="PivotTable24"/>
    <pivotTable tabId="7" name="PivotTable29"/>
    <pivotTable tabId="13" name="PivotTable9"/>
    <pivotTable tabId="13" name="PivotTable4"/>
    <pivotTable tabId="13" name="PivotTable10"/>
    <pivotTable tabId="13" name="PivotTable5"/>
    <pivotTable tabId="13" name="PivotTable7"/>
    <pivotTable tabId="13" name="PivotTable13"/>
    <pivotTable tabId="13" name="PivotTable1"/>
  </pivotTables>
  <data>
    <tabular pivotCacheId="1437958788">
      <items count="10">
        <i x="3" s="1"/>
        <i x="0" s="1"/>
        <i x="7" s="1"/>
        <i x="6" s="1"/>
        <i x="1" s="1"/>
        <i x="4" s="1"/>
        <i x="2" s="1"/>
        <i x="9"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43E829D-FBE6-4D94-9156-0834DE53A8A4}" cache="Slicer_Category" caption="Category" startItem="1" style="SlicerStyleDark modified-2" rowHeight="234950"/>
  <slicer name="Vendor Name 1" xr10:uid="{B9C7FEA7-5B43-4A5B-A18C-45F44A03B324}" cache="Slicer_Vendor_Name" caption="Vendor Name" startItem="3" style="SlicerStyleDark modified-2" rowHeight="234950"/>
  <slicer name="Payment Status 1" xr10:uid="{44C05FEE-D8B3-4D10-8B43-6E2AE02D22DF}" cache="Slicer_Payment_Status" caption="Payment Status" style="SlicerStyleDark modified-2" rowHeight="216000"/>
  <slicer name="Currency 1" xr10:uid="{1F0C9DE4-AFDC-4E2B-A922-B61DEF41FBF1}" cache="Slicer_Currency" caption="Currency" style="SlicerStyleDark modified-2" rowHeight="234950"/>
  <slicer name="Country 1" xr10:uid="{5F3440F3-FD1B-4B19-8FCC-45E6BB9B45CA}" cache="Slicer_Country" caption="Country" style="SlicerStyleDark modified-2" rowHeight="234950"/>
  <slicer name="Department 1" xr10:uid="{CD7ACCF7-5815-4E74-92A6-F01B5D054E78}" cache="Slicer_Department" caption="Department" startItem="8" style="SlicerStyleDark modified-2"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9590E11-F17A-46CD-97A2-C6B2C58C1EC3}" cache="Slicer_Category" caption="Category" style="SlicerStyleDark6" rowHeight="234950"/>
  <slicer name="Vendor Name" xr10:uid="{EFCF5CA8-6928-434A-BB4B-95997B33CD7D}" cache="Slicer_Vendor_Name" caption="Vendor Name" startItem="3" style="SlicerStyleDark6" rowHeight="234950"/>
  <slicer name="Payment Status" xr10:uid="{CF108436-3919-445E-8A87-187898A98EF4}" cache="Slicer_Payment_Status" caption="Payment Status" style="SlicerStyleDark6" rowHeight="234950"/>
  <slicer name="Currency" xr10:uid="{2B3A9F9E-1F7A-47E6-A78F-5E1670814FB4}" cache="Slicer_Currency" caption="Currency" style="SlicerStyleDark6" rowHeight="234950"/>
  <slicer name="Country" xr10:uid="{95C29F6C-11BF-4B25-9803-AC8CA1CA140C}" cache="Slicer_Country" caption="Country" style="SlicerStyleDark6" rowHeight="234950"/>
  <slicer name="Department" xr10:uid="{12347929-51F1-403F-86D4-4DEE91739AB6}" cache="Slicer_Department" caption="Department"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353A9E-4CBA-4E0F-A13F-EB5DAA1DCA4A}" name="Table3" displayName="Table3" ref="A1:S444" totalsRowShown="0" headerRowDxfId="21" dataDxfId="20">
  <autoFilter ref="A1:S444" xr:uid="{AA353A9E-4CBA-4E0F-A13F-EB5DAA1DCA4A}"/>
  <sortState xmlns:xlrd2="http://schemas.microsoft.com/office/spreadsheetml/2017/richdata2" ref="A2:R444">
    <sortCondition ref="A1:A444"/>
  </sortState>
  <tableColumns count="19">
    <tableColumn id="1" xr3:uid="{32968526-CD4D-4EF8-AF2C-101BD7777AA3}" name="Invoice ID" dataDxfId="19"/>
    <tableColumn id="30" xr3:uid="{8E64CC91-AA02-415D-AD97-50B0800CD86B}" name="Vendor Name" dataDxfId="18"/>
    <tableColumn id="3" xr3:uid="{A7E43885-341B-4D2D-ABD1-7AD9F2F66A67}" name="PO Number" dataDxfId="17"/>
    <tableColumn id="4" xr3:uid="{4DF976FA-41E1-4B2B-82F9-0B51A25F6169}" name="Invoice Date" dataDxfId="16"/>
    <tableColumn id="5" xr3:uid="{FF5D00A1-EEBF-499A-9C9B-EC82DC92355A}" name="Due Date" dataDxfId="15"/>
    <tableColumn id="13" xr3:uid="{06E81E3E-D081-48D4-8DA6-7EBC91006ECF}" name="Invoice Month" dataDxfId="14">
      <calculatedColumnFormula>TEXT(D2,"mmm-yyyy")</calculatedColumnFormula>
    </tableColumn>
    <tableColumn id="6" xr3:uid="{0DBC2DEF-9B7D-47C6-9658-87B59B2DC1BE}" name="Invoice Amount" dataDxfId="13"/>
    <tableColumn id="25" xr3:uid="{10E3984B-CC38-48A4-8B15-EC05F9E3DE2F}" name="Currency" dataDxfId="12"/>
    <tableColumn id="8" xr3:uid="{28BCBA4D-1027-406B-ACC5-4E70F262CFCE}" name="Tax %" dataDxfId="11"/>
    <tableColumn id="9" xr3:uid="{5AD50658-60C4-4A34-9DD9-28AE2F4897FB}" name="Tax Amount" dataDxfId="10"/>
    <tableColumn id="26" xr3:uid="{4E361C70-7DDB-4DD2-9344-C10C4B5AEDA6}" name="Department" dataDxfId="9"/>
    <tableColumn id="22" xr3:uid="{2F94E1E9-389B-42A0-BACD-B29360A17A37}" name="Category" dataDxfId="8"/>
    <tableColumn id="23" xr3:uid="{5776EAB9-652B-4E97-86D4-FFB39FA561ED}" name="Approval Status" dataDxfId="7"/>
    <tableColumn id="29" xr3:uid="{66F17E66-5C57-4014-8A3A-F5D47788BC80}" name="Approver" dataDxfId="6"/>
    <tableColumn id="24" xr3:uid="{D7314385-E3C9-489E-AE2B-B43CA813741F}" name="Payment Status" dataDxfId="5"/>
    <tableColumn id="14" xr3:uid="{65065E74-52A0-432F-8A42-10DE3AC0CDE8}" name="Is Overdue" dataDxfId="4">
      <calculatedColumnFormula>IF(Table3[[#This Row],[Payment Status]]="Overdue",1,0)</calculatedColumnFormula>
    </tableColumn>
    <tableColumn id="15" xr3:uid="{0A6F31F4-D0A7-4A32-ADFF-B9CB4C8AA6D1}" name="Payment Date" dataDxfId="3"/>
    <tableColumn id="28" xr3:uid="{A14B1086-CC6C-4C7B-9A01-81A7CD8046EA}" name="Payment Method" dataDxfId="2"/>
    <tableColumn id="2" xr3:uid="{BFA3048C-7973-4229-81ED-7088680F3B70}" name="Country"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2120B-A8CF-487C-81DC-B7431D02F0C6}">
  <dimension ref="H39"/>
  <sheetViews>
    <sheetView showGridLines="0" showRowColHeaders="0" tabSelected="1" zoomScale="112" zoomScaleNormal="112" workbookViewId="0">
      <selection activeCell="K42" sqref="K42"/>
    </sheetView>
  </sheetViews>
  <sheetFormatPr defaultRowHeight="14.4" x14ac:dyDescent="0.3"/>
  <cols>
    <col min="1" max="16384" width="8.88671875" style="47"/>
  </cols>
  <sheetData>
    <row r="39" spans="8:8" x14ac:dyDescent="0.3">
      <c r="H39" s="47" t="s">
        <v>983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9D93-9062-4E6E-A163-4240F6094F83}">
  <dimension ref="A1:N32"/>
  <sheetViews>
    <sheetView workbookViewId="0">
      <selection activeCell="N5" sqref="N5"/>
    </sheetView>
  </sheetViews>
  <sheetFormatPr defaultRowHeight="14.4" x14ac:dyDescent="0.3"/>
  <cols>
    <col min="1" max="1" width="12.44140625" bestFit="1" customWidth="1"/>
    <col min="2" max="2" width="20.109375" bestFit="1" customWidth="1"/>
    <col min="3" max="3" width="5.33203125" customWidth="1"/>
    <col min="4" max="4" width="12.44140625" bestFit="1" customWidth="1"/>
    <col min="5" max="5" width="20.109375" bestFit="1" customWidth="1"/>
    <col min="6" max="6" width="5.6640625" customWidth="1"/>
    <col min="7" max="7" width="12.44140625" bestFit="1" customWidth="1"/>
    <col min="8" max="8" width="16.77734375" bestFit="1" customWidth="1"/>
    <col min="9" max="9" width="5.33203125" customWidth="1"/>
    <col min="10" max="10" width="12.44140625" bestFit="1" customWidth="1"/>
    <col min="11" max="12" width="20.109375" bestFit="1" customWidth="1"/>
  </cols>
  <sheetData>
    <row r="1" spans="1:12" ht="25.2" x14ac:dyDescent="0.5">
      <c r="A1" s="60" t="s">
        <v>972</v>
      </c>
      <c r="B1" s="61"/>
      <c r="C1" s="61"/>
    </row>
    <row r="2" spans="1:12" ht="15" thickBot="1" x14ac:dyDescent="0.35"/>
    <row r="3" spans="1:12" ht="15" thickBot="1" x14ac:dyDescent="0.35">
      <c r="A3" s="64" t="s">
        <v>950</v>
      </c>
      <c r="B3" s="65"/>
      <c r="D3" s="64" t="s">
        <v>952</v>
      </c>
      <c r="E3" s="65"/>
      <c r="G3" s="64" t="s">
        <v>969</v>
      </c>
      <c r="H3" s="65"/>
      <c r="J3" s="64" t="s">
        <v>984</v>
      </c>
      <c r="K3" s="66"/>
      <c r="L3" s="65"/>
    </row>
    <row r="4" spans="1:12" ht="15" thickBot="1" x14ac:dyDescent="0.35">
      <c r="A4" s="34" t="s">
        <v>946</v>
      </c>
      <c r="B4" s="39" t="s">
        <v>948</v>
      </c>
      <c r="D4" s="36" t="s">
        <v>946</v>
      </c>
      <c r="E4" s="39" t="s">
        <v>948</v>
      </c>
      <c r="G4" s="36" t="s">
        <v>946</v>
      </c>
      <c r="H4" s="39" t="s">
        <v>968</v>
      </c>
      <c r="J4" s="36" t="s">
        <v>946</v>
      </c>
      <c r="K4" s="45" t="s">
        <v>966</v>
      </c>
      <c r="L4" s="46" t="s">
        <v>948</v>
      </c>
    </row>
    <row r="5" spans="1:12" x14ac:dyDescent="0.3">
      <c r="A5" s="35" t="s">
        <v>923</v>
      </c>
      <c r="B5" s="41">
        <v>1092762.5500000003</v>
      </c>
      <c r="D5" s="37" t="s">
        <v>33</v>
      </c>
      <c r="E5" s="41">
        <v>1559990.9400000002</v>
      </c>
      <c r="G5" s="35" t="s">
        <v>98</v>
      </c>
      <c r="H5" s="51">
        <v>48</v>
      </c>
      <c r="J5" s="37" t="s">
        <v>40</v>
      </c>
      <c r="K5" s="49">
        <v>45</v>
      </c>
      <c r="L5" s="43">
        <v>1883873.4899999998</v>
      </c>
    </row>
    <row r="6" spans="1:12" x14ac:dyDescent="0.3">
      <c r="A6" s="35" t="s">
        <v>163</v>
      </c>
      <c r="B6" s="41">
        <v>1036881.9200000002</v>
      </c>
      <c r="D6" s="37" t="s">
        <v>106</v>
      </c>
      <c r="E6" s="41">
        <v>1341852.57</v>
      </c>
      <c r="G6" s="35" t="s">
        <v>34</v>
      </c>
      <c r="H6" s="51">
        <v>36</v>
      </c>
      <c r="J6" s="37" t="s">
        <v>20</v>
      </c>
      <c r="K6" s="49">
        <v>76</v>
      </c>
      <c r="L6" s="43">
        <v>3204151.0200000023</v>
      </c>
    </row>
    <row r="7" spans="1:12" x14ac:dyDescent="0.3">
      <c r="A7" s="35" t="s">
        <v>153</v>
      </c>
      <c r="B7" s="41">
        <v>1197568.0599999996</v>
      </c>
      <c r="D7" s="37" t="s">
        <v>230</v>
      </c>
      <c r="E7" s="41">
        <v>1518221.3199999998</v>
      </c>
      <c r="G7" s="35" t="s">
        <v>70</v>
      </c>
      <c r="H7" s="51">
        <v>51</v>
      </c>
      <c r="J7" s="37" t="s">
        <v>62</v>
      </c>
      <c r="K7" s="49">
        <v>83</v>
      </c>
      <c r="L7" s="43">
        <v>3996093.5300000003</v>
      </c>
    </row>
    <row r="8" spans="1:12" x14ac:dyDescent="0.3">
      <c r="A8" s="35" t="s">
        <v>311</v>
      </c>
      <c r="B8" s="41">
        <v>1158390.1499999999</v>
      </c>
      <c r="D8" s="37" t="s">
        <v>53</v>
      </c>
      <c r="E8" s="41">
        <v>1870535.3099999998</v>
      </c>
      <c r="G8" s="35" t="s">
        <v>54</v>
      </c>
      <c r="H8" s="51">
        <v>47</v>
      </c>
      <c r="J8" s="37" t="s">
        <v>184</v>
      </c>
      <c r="K8" s="49">
        <v>84</v>
      </c>
      <c r="L8" s="43">
        <v>3172008.0699999989</v>
      </c>
    </row>
    <row r="9" spans="1:12" x14ac:dyDescent="0.3">
      <c r="A9" s="35" t="s">
        <v>121</v>
      </c>
      <c r="B9" s="41">
        <v>1117253.04</v>
      </c>
      <c r="D9" s="37" t="s">
        <v>44</v>
      </c>
      <c r="E9" s="41">
        <v>2187861.0199999996</v>
      </c>
      <c r="G9" s="35" t="s">
        <v>66</v>
      </c>
      <c r="H9" s="51">
        <v>49</v>
      </c>
      <c r="J9" s="37" t="s">
        <v>28</v>
      </c>
      <c r="K9" s="49">
        <v>39</v>
      </c>
      <c r="L9" s="43">
        <v>1371568.56</v>
      </c>
    </row>
    <row r="10" spans="1:12" x14ac:dyDescent="0.3">
      <c r="A10" s="35" t="s">
        <v>197</v>
      </c>
      <c r="B10" s="41">
        <v>1200911.79</v>
      </c>
      <c r="D10" s="37" t="s">
        <v>73</v>
      </c>
      <c r="E10" s="41">
        <v>1889627.25</v>
      </c>
      <c r="G10" s="35" t="s">
        <v>60</v>
      </c>
      <c r="H10" s="51">
        <v>50</v>
      </c>
      <c r="J10" s="37" t="s">
        <v>941</v>
      </c>
      <c r="K10" s="49">
        <v>50</v>
      </c>
      <c r="L10" s="43">
        <v>1895492.4800000004</v>
      </c>
    </row>
    <row r="11" spans="1:12" x14ac:dyDescent="0.3">
      <c r="A11" s="35" t="s">
        <v>137</v>
      </c>
      <c r="B11" s="41">
        <v>1193685.6200000003</v>
      </c>
      <c r="D11" s="37" t="s">
        <v>66</v>
      </c>
      <c r="E11" s="41">
        <v>1813826.8599999999</v>
      </c>
      <c r="G11" s="35" t="s">
        <v>45</v>
      </c>
      <c r="H11" s="51">
        <v>40</v>
      </c>
      <c r="J11" s="37" t="s">
        <v>57</v>
      </c>
      <c r="K11" s="49">
        <v>28</v>
      </c>
      <c r="L11" s="43">
        <v>1321731.8800000004</v>
      </c>
    </row>
    <row r="12" spans="1:12" ht="15" thickBot="1" x14ac:dyDescent="0.35">
      <c r="A12" s="35" t="s">
        <v>47</v>
      </c>
      <c r="B12" s="41">
        <v>1030661.07</v>
      </c>
      <c r="D12" s="37" t="s">
        <v>143</v>
      </c>
      <c r="E12" s="41">
        <v>1689803.9300000006</v>
      </c>
      <c r="G12" s="35" t="s">
        <v>24</v>
      </c>
      <c r="H12" s="51">
        <v>41</v>
      </c>
      <c r="J12" s="38" t="s">
        <v>36</v>
      </c>
      <c r="K12" s="49">
        <v>38</v>
      </c>
      <c r="L12" s="43">
        <v>1611362.0300000005</v>
      </c>
    </row>
    <row r="13" spans="1:12" ht="15" thickBot="1" x14ac:dyDescent="0.35">
      <c r="A13" s="35" t="s">
        <v>128</v>
      </c>
      <c r="B13" s="41">
        <v>1022910.6200000001</v>
      </c>
      <c r="D13" s="37" t="s">
        <v>97</v>
      </c>
      <c r="E13" s="41">
        <v>1781499.93</v>
      </c>
      <c r="G13" s="35" t="s">
        <v>79</v>
      </c>
      <c r="H13" s="51">
        <v>44</v>
      </c>
      <c r="J13" s="38" t="s">
        <v>947</v>
      </c>
      <c r="K13" s="45">
        <v>443</v>
      </c>
      <c r="L13" s="44">
        <v>18456281.059999991</v>
      </c>
    </row>
    <row r="14" spans="1:12" ht="15" thickBot="1" x14ac:dyDescent="0.35">
      <c r="A14" s="35" t="s">
        <v>206</v>
      </c>
      <c r="B14" s="41">
        <v>1364749.91</v>
      </c>
      <c r="D14" s="38" t="s">
        <v>165</v>
      </c>
      <c r="E14" s="41">
        <v>2803061.9299999997</v>
      </c>
      <c r="G14" s="35" t="s">
        <v>940</v>
      </c>
      <c r="H14" s="51">
        <v>37</v>
      </c>
    </row>
    <row r="15" spans="1:12" ht="15" thickBot="1" x14ac:dyDescent="0.35">
      <c r="A15" s="38" t="s">
        <v>947</v>
      </c>
      <c r="B15" s="42">
        <v>11415774.73</v>
      </c>
      <c r="D15" s="38" t="s">
        <v>947</v>
      </c>
      <c r="E15" s="42">
        <v>18456281.059999999</v>
      </c>
      <c r="G15" s="38" t="s">
        <v>947</v>
      </c>
      <c r="H15" s="39">
        <v>443</v>
      </c>
    </row>
    <row r="17" spans="1:14" ht="15" thickBot="1" x14ac:dyDescent="0.35"/>
    <row r="18" spans="1:14" ht="15" thickBot="1" x14ac:dyDescent="0.35">
      <c r="A18" s="64" t="s">
        <v>965</v>
      </c>
      <c r="B18" s="65"/>
      <c r="D18" s="64" t="s">
        <v>970</v>
      </c>
      <c r="E18" s="65"/>
      <c r="G18" s="64" t="s">
        <v>967</v>
      </c>
      <c r="H18" s="65"/>
      <c r="I18" s="33"/>
      <c r="J18" s="64" t="s">
        <v>985</v>
      </c>
      <c r="K18" s="65"/>
      <c r="M18" s="62" t="s">
        <v>986</v>
      </c>
      <c r="N18" s="63"/>
    </row>
    <row r="19" spans="1:14" ht="15" thickBot="1" x14ac:dyDescent="0.35">
      <c r="A19" s="34" t="s">
        <v>946</v>
      </c>
      <c r="B19" s="39" t="s">
        <v>948</v>
      </c>
      <c r="D19" s="36" t="s">
        <v>946</v>
      </c>
      <c r="E19" s="39" t="s">
        <v>966</v>
      </c>
      <c r="G19" s="36" t="s">
        <v>946</v>
      </c>
      <c r="H19" s="39" t="s">
        <v>966</v>
      </c>
      <c r="J19" s="36" t="s">
        <v>946</v>
      </c>
      <c r="K19" s="39" t="s">
        <v>948</v>
      </c>
      <c r="M19" s="49" t="s">
        <v>88</v>
      </c>
      <c r="N19" s="50">
        <v>2182870.4200000004</v>
      </c>
    </row>
    <row r="20" spans="1:14" x14ac:dyDescent="0.3">
      <c r="A20" s="35" t="s">
        <v>953</v>
      </c>
      <c r="B20" s="41">
        <v>489768.52</v>
      </c>
      <c r="D20" s="37" t="s">
        <v>19</v>
      </c>
      <c r="E20" s="51">
        <v>130</v>
      </c>
      <c r="G20" s="37" t="s">
        <v>27</v>
      </c>
      <c r="H20" s="51">
        <v>39</v>
      </c>
      <c r="J20" s="37" t="s">
        <v>88</v>
      </c>
      <c r="K20" s="41">
        <v>2182870.4200000009</v>
      </c>
      <c r="M20" s="49" t="s">
        <v>29</v>
      </c>
      <c r="N20" s="50">
        <v>1663479.6199999999</v>
      </c>
    </row>
    <row r="21" spans="1:14" x14ac:dyDescent="0.3">
      <c r="A21" s="35" t="s">
        <v>954</v>
      </c>
      <c r="B21" s="41">
        <v>772773.2300000001</v>
      </c>
      <c r="D21" s="37" t="s">
        <v>39</v>
      </c>
      <c r="E21" s="51">
        <v>89</v>
      </c>
      <c r="G21" s="37" t="s">
        <v>92</v>
      </c>
      <c r="H21" s="51">
        <v>86</v>
      </c>
      <c r="J21" s="37" t="s">
        <v>29</v>
      </c>
      <c r="K21" s="41">
        <v>1663479.6199999999</v>
      </c>
      <c r="M21" s="49" t="s">
        <v>67</v>
      </c>
      <c r="N21" s="50">
        <v>1924801.5699999998</v>
      </c>
    </row>
    <row r="22" spans="1:14" x14ac:dyDescent="0.3">
      <c r="A22" s="35" t="s">
        <v>955</v>
      </c>
      <c r="B22" s="41">
        <v>358116.67999999993</v>
      </c>
      <c r="D22" s="37" t="s">
        <v>61</v>
      </c>
      <c r="E22" s="51">
        <v>41</v>
      </c>
      <c r="G22" s="37" t="s">
        <v>126</v>
      </c>
      <c r="H22" s="51">
        <v>104</v>
      </c>
      <c r="J22" s="37" t="s">
        <v>67</v>
      </c>
      <c r="K22" s="41">
        <v>1924801.5699999998</v>
      </c>
      <c r="M22" s="49" t="s">
        <v>85</v>
      </c>
      <c r="N22" s="50">
        <v>1792391.1399999997</v>
      </c>
    </row>
    <row r="23" spans="1:14" x14ac:dyDescent="0.3">
      <c r="A23" s="35" t="s">
        <v>956</v>
      </c>
      <c r="B23" s="41">
        <v>1122641.33</v>
      </c>
      <c r="D23" s="37" t="s">
        <v>25</v>
      </c>
      <c r="E23" s="51">
        <v>66</v>
      </c>
      <c r="G23" s="37" t="s">
        <v>111</v>
      </c>
      <c r="H23" s="51">
        <v>63</v>
      </c>
      <c r="J23" s="37" t="s">
        <v>85</v>
      </c>
      <c r="K23" s="41">
        <v>1792391.1399999997</v>
      </c>
      <c r="M23" s="49" t="s">
        <v>41</v>
      </c>
      <c r="N23" s="50">
        <v>4386875.93</v>
      </c>
    </row>
    <row r="24" spans="1:14" ht="15" thickBot="1" x14ac:dyDescent="0.35">
      <c r="A24" s="35" t="s">
        <v>957</v>
      </c>
      <c r="B24" s="41">
        <v>1540034.55</v>
      </c>
      <c r="D24" s="37" t="s">
        <v>55</v>
      </c>
      <c r="E24" s="51">
        <v>80</v>
      </c>
      <c r="G24" s="37" t="s">
        <v>25</v>
      </c>
      <c r="H24" s="51">
        <v>38</v>
      </c>
      <c r="J24" s="37" t="s">
        <v>41</v>
      </c>
      <c r="K24" s="41">
        <v>4386875.93</v>
      </c>
      <c r="M24" s="45" t="s">
        <v>63</v>
      </c>
      <c r="N24" s="46">
        <v>4881926.5699999984</v>
      </c>
    </row>
    <row r="25" spans="1:14" ht="15" thickBot="1" x14ac:dyDescent="0.35">
      <c r="A25" s="35" t="s">
        <v>958</v>
      </c>
      <c r="B25" s="41">
        <v>1420223.2899999998</v>
      </c>
      <c r="D25" s="38" t="s">
        <v>941</v>
      </c>
      <c r="E25" s="51">
        <v>37</v>
      </c>
      <c r="G25" s="37" t="s">
        <v>941</v>
      </c>
      <c r="H25" s="51">
        <v>40</v>
      </c>
      <c r="J25" s="37" t="s">
        <v>941</v>
      </c>
      <c r="K25" s="41">
        <v>1623935.8100000003</v>
      </c>
    </row>
    <row r="26" spans="1:14" ht="15" thickBot="1" x14ac:dyDescent="0.35">
      <c r="A26" s="35" t="s">
        <v>959</v>
      </c>
      <c r="B26" s="41">
        <v>858294.78999999992</v>
      </c>
      <c r="D26" s="38" t="s">
        <v>947</v>
      </c>
      <c r="E26" s="39">
        <v>443</v>
      </c>
      <c r="G26" s="38" t="s">
        <v>939</v>
      </c>
      <c r="H26" s="51">
        <v>73</v>
      </c>
      <c r="J26" s="38" t="s">
        <v>63</v>
      </c>
      <c r="K26" s="41">
        <v>4881926.5699999984</v>
      </c>
    </row>
    <row r="27" spans="1:14" ht="15" thickBot="1" x14ac:dyDescent="0.35">
      <c r="A27" s="35" t="s">
        <v>960</v>
      </c>
      <c r="B27" s="41">
        <v>1942075.5900000003</v>
      </c>
      <c r="G27" s="38" t="s">
        <v>947</v>
      </c>
      <c r="H27" s="39">
        <v>443</v>
      </c>
      <c r="J27" s="38" t="s">
        <v>947</v>
      </c>
      <c r="K27" s="42">
        <v>18456281.059999999</v>
      </c>
    </row>
    <row r="28" spans="1:14" x14ac:dyDescent="0.3">
      <c r="A28" s="35" t="s">
        <v>961</v>
      </c>
      <c r="B28" s="41">
        <v>1296229.3999999999</v>
      </c>
    </row>
    <row r="29" spans="1:14" x14ac:dyDescent="0.3">
      <c r="A29" s="35" t="s">
        <v>962</v>
      </c>
      <c r="B29" s="41">
        <v>768418.39999999991</v>
      </c>
    </row>
    <row r="30" spans="1:14" x14ac:dyDescent="0.3">
      <c r="A30" s="35" t="s">
        <v>963</v>
      </c>
      <c r="B30" s="41">
        <v>405257.67</v>
      </c>
    </row>
    <row r="31" spans="1:14" x14ac:dyDescent="0.3">
      <c r="A31" s="35" t="s">
        <v>964</v>
      </c>
      <c r="B31" s="41">
        <v>621718.21</v>
      </c>
    </row>
    <row r="32" spans="1:14" ht="15" thickBot="1" x14ac:dyDescent="0.35">
      <c r="A32" s="38" t="s">
        <v>947</v>
      </c>
      <c r="B32" s="42">
        <v>11595551.66</v>
      </c>
    </row>
  </sheetData>
  <mergeCells count="10">
    <mergeCell ref="A1:C1"/>
    <mergeCell ref="M18:N18"/>
    <mergeCell ref="J18:K18"/>
    <mergeCell ref="G18:H18"/>
    <mergeCell ref="D18:E18"/>
    <mergeCell ref="A18:B18"/>
    <mergeCell ref="J3:L3"/>
    <mergeCell ref="G3:H3"/>
    <mergeCell ref="D3:E3"/>
    <mergeCell ref="A3: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ACA0-E9E9-4777-83ED-E350494EE0DF}">
  <dimension ref="A1:L21"/>
  <sheetViews>
    <sheetView zoomScaleNormal="100" workbookViewId="0">
      <selection activeCell="E18" sqref="E18"/>
    </sheetView>
  </sheetViews>
  <sheetFormatPr defaultRowHeight="14.4" x14ac:dyDescent="0.3"/>
  <cols>
    <col min="1" max="1" width="25.44140625" bestFit="1" customWidth="1"/>
    <col min="2" max="2" width="20.109375" bestFit="1" customWidth="1"/>
    <col min="3" max="3" width="4.77734375" customWidth="1"/>
    <col min="4" max="4" width="12.109375" style="52" bestFit="1" customWidth="1"/>
    <col min="5" max="5" width="21.6640625" style="53" bestFit="1" customWidth="1"/>
    <col min="6" max="6" width="4.5546875" customWidth="1"/>
    <col min="7" max="7" width="18.21875" bestFit="1" customWidth="1"/>
    <col min="8" max="8" width="20.109375" bestFit="1" customWidth="1"/>
    <col min="9" max="9" width="4.88671875" customWidth="1"/>
    <col min="10" max="10" width="17.109375" customWidth="1"/>
    <col min="11" max="12" width="20.109375" bestFit="1" customWidth="1"/>
    <col min="13" max="435" width="11.77734375" bestFit="1" customWidth="1"/>
    <col min="436" max="436" width="13.109375" bestFit="1" customWidth="1"/>
    <col min="437" max="444" width="15.33203125" bestFit="1" customWidth="1"/>
    <col min="445" max="445" width="10.77734375" bestFit="1" customWidth="1"/>
  </cols>
  <sheetData>
    <row r="1" spans="1:12" ht="25.8" thickBot="1" x14ac:dyDescent="0.55000000000000004">
      <c r="A1" s="67" t="s">
        <v>971</v>
      </c>
      <c r="B1" s="68"/>
    </row>
    <row r="2" spans="1:12" ht="15" thickBot="1" x14ac:dyDescent="0.35">
      <c r="D2" s="69" t="s">
        <v>980</v>
      </c>
      <c r="E2" s="70"/>
      <c r="G2" s="69" t="s">
        <v>982</v>
      </c>
      <c r="H2" s="70"/>
      <c r="J2" s="69" t="s">
        <v>982</v>
      </c>
      <c r="K2" s="70"/>
    </row>
    <row r="3" spans="1:12" ht="15" thickBot="1" x14ac:dyDescent="0.35">
      <c r="A3" s="40" t="s">
        <v>976</v>
      </c>
      <c r="D3" s="56" t="s">
        <v>946</v>
      </c>
      <c r="E3" s="53" t="s">
        <v>949</v>
      </c>
      <c r="G3" s="20" t="s">
        <v>946</v>
      </c>
      <c r="H3" t="s">
        <v>948</v>
      </c>
      <c r="J3" s="72">
        <f>SUM(SUMIF(Table3[Payment Status],'KPI&amp;Filters'!L5,Table3[Invoice Amount]),SUMIF(Table3[Payment Status],'KPI&amp;Filters'!L6,Table3[Invoice Amount]),SUMIF(Table3[Payment Status],'KPI&amp;Filters'!L7,Table3[Invoice Amount]),SUMIF(Table3[Payment Status],'KPI&amp;Filters'!L8,Table3[Invoice Amount]))</f>
        <v>10773937.24</v>
      </c>
      <c r="K3" s="73"/>
    </row>
    <row r="4" spans="1:12" x14ac:dyDescent="0.3">
      <c r="A4" t="s">
        <v>948</v>
      </c>
      <c r="D4" s="57" t="s">
        <v>27</v>
      </c>
      <c r="E4" s="53">
        <v>39</v>
      </c>
      <c r="G4" s="21" t="s">
        <v>27</v>
      </c>
      <c r="H4" s="48">
        <v>1565443.61</v>
      </c>
    </row>
    <row r="5" spans="1:12" x14ac:dyDescent="0.3">
      <c r="A5" s="48">
        <v>18456281.059999999</v>
      </c>
      <c r="D5" s="57" t="s">
        <v>92</v>
      </c>
      <c r="E5" s="53">
        <v>86</v>
      </c>
      <c r="G5" s="21" t="s">
        <v>92</v>
      </c>
      <c r="H5" s="48">
        <v>3737753.9600000009</v>
      </c>
      <c r="L5" t="s">
        <v>92</v>
      </c>
    </row>
    <row r="6" spans="1:12" ht="15" thickBot="1" x14ac:dyDescent="0.35">
      <c r="D6" s="57" t="s">
        <v>126</v>
      </c>
      <c r="E6" s="53">
        <v>104</v>
      </c>
      <c r="G6" s="21" t="s">
        <v>126</v>
      </c>
      <c r="H6" s="48">
        <v>4181224.6300000013</v>
      </c>
      <c r="L6" t="s">
        <v>111</v>
      </c>
    </row>
    <row r="7" spans="1:12" ht="15" thickBot="1" x14ac:dyDescent="0.35">
      <c r="A7" s="40" t="s">
        <v>975</v>
      </c>
      <c r="D7" s="57" t="s">
        <v>111</v>
      </c>
      <c r="E7" s="53">
        <v>63</v>
      </c>
      <c r="G7" s="21" t="s">
        <v>111</v>
      </c>
      <c r="H7" s="48">
        <v>2729651.689999999</v>
      </c>
      <c r="L7" t="s">
        <v>25</v>
      </c>
    </row>
    <row r="8" spans="1:12" x14ac:dyDescent="0.3">
      <c r="A8" t="s">
        <v>951</v>
      </c>
      <c r="D8" s="57" t="s">
        <v>25</v>
      </c>
      <c r="E8" s="53">
        <v>38</v>
      </c>
      <c r="G8" s="21" t="s">
        <v>25</v>
      </c>
      <c r="H8" s="48">
        <v>1380504.44</v>
      </c>
      <c r="L8" t="s">
        <v>939</v>
      </c>
    </row>
    <row r="9" spans="1:12" x14ac:dyDescent="0.3">
      <c r="A9" s="48">
        <v>41662.033995485326</v>
      </c>
      <c r="D9" s="57" t="s">
        <v>941</v>
      </c>
      <c r="E9" s="53">
        <v>40</v>
      </c>
      <c r="G9" s="21" t="s">
        <v>941</v>
      </c>
      <c r="H9" s="48">
        <v>1935675.5799999998</v>
      </c>
    </row>
    <row r="10" spans="1:12" ht="15" thickBot="1" x14ac:dyDescent="0.35">
      <c r="D10" s="57" t="s">
        <v>939</v>
      </c>
      <c r="E10" s="53">
        <v>73</v>
      </c>
      <c r="G10" s="21" t="s">
        <v>939</v>
      </c>
      <c r="H10" s="48">
        <v>2926027.15</v>
      </c>
    </row>
    <row r="11" spans="1:12" ht="15" thickBot="1" x14ac:dyDescent="0.35">
      <c r="A11" s="40" t="s">
        <v>977</v>
      </c>
      <c r="D11" s="57" t="s">
        <v>947</v>
      </c>
      <c r="E11" s="53">
        <v>443</v>
      </c>
      <c r="G11" s="21" t="s">
        <v>947</v>
      </c>
      <c r="H11" s="48">
        <v>18456281.060000002</v>
      </c>
    </row>
    <row r="12" spans="1:12" x14ac:dyDescent="0.3">
      <c r="A12" t="s">
        <v>966</v>
      </c>
    </row>
    <row r="13" spans="1:12" x14ac:dyDescent="0.3">
      <c r="A13">
        <v>443</v>
      </c>
      <c r="D13"/>
      <c r="E13" s="58" t="s">
        <v>979</v>
      </c>
    </row>
    <row r="14" spans="1:12" ht="15" thickBot="1" x14ac:dyDescent="0.35">
      <c r="E14" s="54" t="s">
        <v>987</v>
      </c>
    </row>
    <row r="15" spans="1:12" ht="15" thickBot="1" x14ac:dyDescent="0.35">
      <c r="A15" s="40" t="s">
        <v>978</v>
      </c>
      <c r="E15" s="55">
        <f>COUNTIF(Table3[Payment Status],"Overdue")/COUNTA(Table3[Payment Status])</f>
        <v>0.19413092550790068</v>
      </c>
    </row>
    <row r="16" spans="1:12" x14ac:dyDescent="0.3">
      <c r="A16" t="s">
        <v>973</v>
      </c>
    </row>
    <row r="17" spans="1:5" ht="15" thickBot="1" x14ac:dyDescent="0.35">
      <c r="A17" s="48">
        <v>2490841.42</v>
      </c>
      <c r="E17" s="54" t="s">
        <v>974</v>
      </c>
    </row>
    <row r="18" spans="1:5" x14ac:dyDescent="0.3">
      <c r="E18" s="59">
        <f>COUNTIF(Table3[Payment Status],"Overdue")/COUNTA(Table3[Payment Status])</f>
        <v>0.19413092550790068</v>
      </c>
    </row>
    <row r="20" spans="1:5" ht="15" thickBot="1" x14ac:dyDescent="0.35"/>
    <row r="21" spans="1:5" ht="25.8" thickBot="1" x14ac:dyDescent="0.55000000000000004">
      <c r="A21" s="67" t="s">
        <v>981</v>
      </c>
      <c r="B21" s="71"/>
      <c r="C21" s="71"/>
      <c r="D21" s="68"/>
    </row>
  </sheetData>
  <mergeCells count="6">
    <mergeCell ref="A1:B1"/>
    <mergeCell ref="G2:H2"/>
    <mergeCell ref="D2:E2"/>
    <mergeCell ref="A21:D21"/>
    <mergeCell ref="J2:K2"/>
    <mergeCell ref="J3:K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44"/>
  <sheetViews>
    <sheetView topLeftCell="D1" zoomScaleNormal="100" workbookViewId="0">
      <pane ySplit="1" topLeftCell="A417" activePane="bottomLeft" state="frozen"/>
      <selection activeCell="D1" sqref="D1"/>
      <selection pane="bottomLeft" activeCell="A3" sqref="A3"/>
    </sheetView>
  </sheetViews>
  <sheetFormatPr defaultColWidth="16.5546875" defaultRowHeight="14.4" x14ac:dyDescent="0.3"/>
  <cols>
    <col min="1" max="1" width="16.6640625" style="8" bestFit="1" customWidth="1"/>
    <col min="2" max="2" width="26.5546875" style="8" bestFit="1" customWidth="1"/>
    <col min="3" max="3" width="14.44140625" style="28" bestFit="1" customWidth="1"/>
    <col min="4" max="4" width="15.44140625" style="14" bestFit="1" customWidth="1"/>
    <col min="5" max="5" width="12.5546875" style="14" bestFit="1" customWidth="1"/>
    <col min="6" max="6" width="14.77734375" style="17" bestFit="1" customWidth="1"/>
    <col min="7" max="7" width="16.44140625" style="2" bestFit="1" customWidth="1"/>
    <col min="8" max="8" width="12.21875" style="28" bestFit="1" customWidth="1"/>
    <col min="9" max="9" width="9.21875" style="32" bestFit="1" customWidth="1"/>
    <col min="10" max="10" width="15" style="2" bestFit="1" customWidth="1"/>
    <col min="11" max="11" width="14.6640625" style="8" bestFit="1" customWidth="1"/>
    <col min="12" max="12" width="20.44140625" style="8" bestFit="1" customWidth="1"/>
    <col min="13" max="13" width="18.77734375" style="8" bestFit="1" customWidth="1"/>
    <col min="14" max="14" width="12.33203125" style="8" bestFit="1" customWidth="1"/>
    <col min="15" max="15" width="18.6640625" style="8" bestFit="1" customWidth="1"/>
    <col min="16" max="16" width="18.6640625" style="9" customWidth="1"/>
    <col min="17" max="17" width="17" style="10" bestFit="1" customWidth="1"/>
    <col min="18" max="18" width="19.88671875" style="8" bestFit="1" customWidth="1"/>
    <col min="19" max="19" width="11" style="8" bestFit="1" customWidth="1"/>
  </cols>
  <sheetData>
    <row r="1" spans="1:19" x14ac:dyDescent="0.3">
      <c r="A1" s="29" t="s">
        <v>943</v>
      </c>
      <c r="B1" s="3" t="s">
        <v>0</v>
      </c>
      <c r="C1" s="25" t="s">
        <v>1</v>
      </c>
      <c r="D1" s="13" t="s">
        <v>2</v>
      </c>
      <c r="E1" s="23" t="s">
        <v>3</v>
      </c>
      <c r="F1" s="15" t="s">
        <v>944</v>
      </c>
      <c r="G1" s="1" t="s">
        <v>4</v>
      </c>
      <c r="H1" s="25" t="s">
        <v>5</v>
      </c>
      <c r="I1" s="31" t="s">
        <v>6</v>
      </c>
      <c r="J1" s="1" t="s">
        <v>7</v>
      </c>
      <c r="K1" s="3" t="s">
        <v>8</v>
      </c>
      <c r="L1" s="3" t="s">
        <v>9</v>
      </c>
      <c r="M1" s="3" t="s">
        <v>10</v>
      </c>
      <c r="N1" s="3" t="s">
        <v>11</v>
      </c>
      <c r="O1" s="7" t="s">
        <v>12</v>
      </c>
      <c r="P1" s="19" t="s">
        <v>945</v>
      </c>
      <c r="Q1" s="12" t="s">
        <v>13</v>
      </c>
      <c r="R1" s="3" t="s">
        <v>14</v>
      </c>
      <c r="S1" s="3" t="s">
        <v>15</v>
      </c>
    </row>
    <row r="2" spans="1:19" x14ac:dyDescent="0.3">
      <c r="A2" s="4" t="s">
        <v>523</v>
      </c>
      <c r="B2" s="4" t="s">
        <v>923</v>
      </c>
      <c r="C2" s="26" t="s">
        <v>925</v>
      </c>
      <c r="D2" s="14">
        <v>45484</v>
      </c>
      <c r="E2" s="14">
        <v>45514</v>
      </c>
      <c r="F2" s="16" t="str">
        <f>TEXT(D2,"mmm-yyyy")</f>
        <v>Jul-2024</v>
      </c>
      <c r="G2" s="2">
        <v>62639.58</v>
      </c>
      <c r="H2" s="26" t="s">
        <v>18</v>
      </c>
      <c r="I2" s="32">
        <v>0</v>
      </c>
      <c r="J2" s="2">
        <v>0</v>
      </c>
      <c r="K2" s="4" t="s">
        <v>106</v>
      </c>
      <c r="L2" s="4" t="s">
        <v>54</v>
      </c>
      <c r="M2" s="5" t="s">
        <v>941</v>
      </c>
      <c r="N2" s="4" t="s">
        <v>91</v>
      </c>
      <c r="O2" s="8" t="s">
        <v>27</v>
      </c>
      <c r="P2" s="9">
        <f>IF(Table3[[#This Row],[Payment Status]]="Overdue",1,0)</f>
        <v>0</v>
      </c>
      <c r="Q2" s="11"/>
      <c r="R2" s="4" t="s">
        <v>57</v>
      </c>
      <c r="S2" s="4" t="s">
        <v>63</v>
      </c>
    </row>
    <row r="3" spans="1:19" x14ac:dyDescent="0.3">
      <c r="A3" s="4" t="s">
        <v>76</v>
      </c>
      <c r="B3" s="4" t="s">
        <v>77</v>
      </c>
      <c r="C3" s="26" t="s">
        <v>78</v>
      </c>
      <c r="D3" s="14">
        <v>45636</v>
      </c>
      <c r="E3" s="14">
        <v>45681</v>
      </c>
      <c r="F3" s="17" t="str">
        <f t="shared" ref="F3:F65" si="0">TEXT(D3,"mmm-yyyy")</f>
        <v>Dec-2024</v>
      </c>
      <c r="G3" s="2">
        <v>8356.3799999999992</v>
      </c>
      <c r="H3" s="26" t="s">
        <v>72</v>
      </c>
      <c r="I3" s="32">
        <v>28</v>
      </c>
      <c r="J3" s="2">
        <v>2339.79</v>
      </c>
      <c r="K3" s="4" t="s">
        <v>44</v>
      </c>
      <c r="L3" s="4" t="s">
        <v>79</v>
      </c>
      <c r="M3" s="8" t="s">
        <v>61</v>
      </c>
      <c r="N3" s="4" t="s">
        <v>80</v>
      </c>
      <c r="O3" s="8" t="s">
        <v>939</v>
      </c>
      <c r="P3" s="9">
        <f>IF(Table3[[#This Row],[Payment Status]]="Overdue",1,0)</f>
        <v>0</v>
      </c>
      <c r="Q3" s="11"/>
      <c r="R3" s="4" t="s">
        <v>20</v>
      </c>
      <c r="S3" s="4" t="s">
        <v>63</v>
      </c>
    </row>
    <row r="4" spans="1:19" x14ac:dyDescent="0.3">
      <c r="A4" s="4" t="s">
        <v>384</v>
      </c>
      <c r="B4" s="4" t="s">
        <v>206</v>
      </c>
      <c r="C4" s="26" t="s">
        <v>385</v>
      </c>
      <c r="D4" s="14">
        <v>45671</v>
      </c>
      <c r="E4" s="14">
        <v>45701</v>
      </c>
      <c r="F4" s="17" t="str">
        <f t="shared" si="0"/>
        <v>Jan-2025</v>
      </c>
      <c r="G4" s="2">
        <v>59699.45</v>
      </c>
      <c r="H4" s="26" t="s">
        <v>72</v>
      </c>
      <c r="I4" s="32">
        <v>18</v>
      </c>
      <c r="J4" s="2">
        <v>10745.9</v>
      </c>
      <c r="K4" s="4" t="s">
        <v>44</v>
      </c>
      <c r="L4" s="4" t="s">
        <v>98</v>
      </c>
      <c r="M4" s="4" t="s">
        <v>19</v>
      </c>
      <c r="N4" s="4" t="s">
        <v>100</v>
      </c>
      <c r="O4" s="8" t="s">
        <v>939</v>
      </c>
      <c r="P4" s="9">
        <f>IF(Table3[[#This Row],[Payment Status]]="Overdue",1,0)</f>
        <v>0</v>
      </c>
      <c r="Q4" s="11"/>
      <c r="R4" s="4" t="s">
        <v>20</v>
      </c>
      <c r="S4" s="4" t="s">
        <v>41</v>
      </c>
    </row>
    <row r="5" spans="1:19" x14ac:dyDescent="0.3">
      <c r="A5" s="4" t="s">
        <v>856</v>
      </c>
      <c r="B5" s="4" t="s">
        <v>153</v>
      </c>
      <c r="C5" s="26" t="s">
        <v>857</v>
      </c>
      <c r="D5" s="14">
        <v>45563</v>
      </c>
      <c r="E5" s="14">
        <v>45623</v>
      </c>
      <c r="F5" s="17" t="str">
        <f t="shared" si="0"/>
        <v>Sep-2024</v>
      </c>
      <c r="G5" s="2">
        <v>45882.22</v>
      </c>
      <c r="H5" s="26" t="s">
        <v>52</v>
      </c>
      <c r="I5" s="32">
        <v>18</v>
      </c>
      <c r="J5" s="2">
        <v>8258.7999999999993</v>
      </c>
      <c r="K5" s="4" t="s">
        <v>106</v>
      </c>
      <c r="L5" s="4" t="s">
        <v>60</v>
      </c>
      <c r="M5" s="4" t="s">
        <v>941</v>
      </c>
      <c r="N5" s="4" t="s">
        <v>91</v>
      </c>
      <c r="O5" s="8" t="s">
        <v>126</v>
      </c>
      <c r="P5" s="9">
        <f>IF(Table3[[#This Row],[Payment Status]]="Overdue",1,0)</f>
        <v>0</v>
      </c>
      <c r="Q5" s="10">
        <v>45616</v>
      </c>
      <c r="R5" s="4" t="s">
        <v>941</v>
      </c>
      <c r="S5" s="5" t="s">
        <v>941</v>
      </c>
    </row>
    <row r="6" spans="1:19" x14ac:dyDescent="0.3">
      <c r="A6" s="4" t="s">
        <v>849</v>
      </c>
      <c r="B6" s="4" t="s">
        <v>141</v>
      </c>
      <c r="C6" s="26" t="s">
        <v>850</v>
      </c>
      <c r="D6" s="14">
        <v>45640</v>
      </c>
      <c r="E6" s="14">
        <v>45685</v>
      </c>
      <c r="F6" s="17" t="str">
        <f t="shared" si="0"/>
        <v>Dec-2024</v>
      </c>
      <c r="G6" s="2">
        <v>13569.69</v>
      </c>
      <c r="H6" s="26" t="s">
        <v>18</v>
      </c>
      <c r="I6" s="32">
        <v>18</v>
      </c>
      <c r="J6" s="2">
        <v>2442.54</v>
      </c>
      <c r="K6" s="5" t="s">
        <v>66</v>
      </c>
      <c r="L6" s="4" t="s">
        <v>54</v>
      </c>
      <c r="M6" s="4" t="s">
        <v>19</v>
      </c>
      <c r="N6" s="5" t="s">
        <v>942</v>
      </c>
      <c r="O6" s="8" t="s">
        <v>92</v>
      </c>
      <c r="P6" s="9">
        <f>IF(Table3[[#This Row],[Payment Status]]="Overdue",1,0)</f>
        <v>1</v>
      </c>
      <c r="Q6" s="11"/>
      <c r="R6" s="4" t="s">
        <v>28</v>
      </c>
      <c r="S6" s="4" t="s">
        <v>85</v>
      </c>
    </row>
    <row r="7" spans="1:19" x14ac:dyDescent="0.3">
      <c r="A7" s="4" t="s">
        <v>30</v>
      </c>
      <c r="B7" s="4" t="s">
        <v>31</v>
      </c>
      <c r="C7" s="26" t="s">
        <v>32</v>
      </c>
      <c r="D7" s="14">
        <v>45372</v>
      </c>
      <c r="E7" s="14">
        <v>45417</v>
      </c>
      <c r="F7" s="17" t="str">
        <f t="shared" si="0"/>
        <v>Mar-2024</v>
      </c>
      <c r="G7" s="2">
        <v>69389.570000000007</v>
      </c>
      <c r="H7" s="26" t="s">
        <v>18</v>
      </c>
      <c r="I7" s="32">
        <v>5</v>
      </c>
      <c r="J7" s="2">
        <v>3469.48</v>
      </c>
      <c r="K7" s="4" t="s">
        <v>33</v>
      </c>
      <c r="L7" s="4" t="s">
        <v>34</v>
      </c>
      <c r="M7" s="4" t="s">
        <v>39</v>
      </c>
      <c r="N7" s="4" t="s">
        <v>35</v>
      </c>
      <c r="O7" s="8" t="s">
        <v>27</v>
      </c>
      <c r="P7" s="9">
        <f>IF(Table3[[#This Row],[Payment Status]]="Overdue",1,0)</f>
        <v>0</v>
      </c>
      <c r="Q7" s="11"/>
      <c r="R7" s="4" t="s">
        <v>36</v>
      </c>
      <c r="S7" s="4" t="s">
        <v>41</v>
      </c>
    </row>
    <row r="8" spans="1:19" x14ac:dyDescent="0.3">
      <c r="A8" s="4" t="s">
        <v>323</v>
      </c>
      <c r="B8" s="4" t="s">
        <v>47</v>
      </c>
      <c r="C8" s="26" t="s">
        <v>324</v>
      </c>
      <c r="D8" s="14">
        <v>45894</v>
      </c>
      <c r="E8" s="14">
        <v>45954</v>
      </c>
      <c r="F8" s="17" t="str">
        <f t="shared" si="0"/>
        <v>Aug-2025</v>
      </c>
      <c r="G8" s="2">
        <v>18835.45</v>
      </c>
      <c r="H8" s="26" t="s">
        <v>52</v>
      </c>
      <c r="I8" s="32">
        <v>5</v>
      </c>
      <c r="J8" s="2">
        <v>941.77</v>
      </c>
      <c r="K8" s="4" t="s">
        <v>73</v>
      </c>
      <c r="L8" s="4" t="s">
        <v>98</v>
      </c>
      <c r="M8" s="4" t="s">
        <v>61</v>
      </c>
      <c r="N8" s="4" t="s">
        <v>26</v>
      </c>
      <c r="O8" s="8" t="s">
        <v>25</v>
      </c>
      <c r="P8" s="9">
        <f>IF(Table3[[#This Row],[Payment Status]]="Overdue",1,0)</f>
        <v>0</v>
      </c>
      <c r="Q8" s="11"/>
      <c r="R8" s="4" t="s">
        <v>184</v>
      </c>
      <c r="S8" s="4" t="s">
        <v>67</v>
      </c>
    </row>
    <row r="9" spans="1:19" x14ac:dyDescent="0.3">
      <c r="A9" s="4" t="s">
        <v>560</v>
      </c>
      <c r="B9" s="4" t="s">
        <v>197</v>
      </c>
      <c r="C9" s="26" t="s">
        <v>561</v>
      </c>
      <c r="D9" s="14">
        <v>45392</v>
      </c>
      <c r="E9" s="14">
        <v>45570</v>
      </c>
      <c r="F9" s="17" t="str">
        <f t="shared" si="0"/>
        <v>Apr-2024</v>
      </c>
      <c r="G9" s="2">
        <v>68080.27</v>
      </c>
      <c r="H9" s="26" t="s">
        <v>52</v>
      </c>
      <c r="I9" s="32">
        <v>18</v>
      </c>
      <c r="J9" s="2">
        <v>12254.45</v>
      </c>
      <c r="K9" s="4" t="s">
        <v>73</v>
      </c>
      <c r="L9" s="4" t="s">
        <v>54</v>
      </c>
      <c r="M9" s="4" t="s">
        <v>19</v>
      </c>
      <c r="N9" s="4" t="s">
        <v>80</v>
      </c>
      <c r="O9" s="9" t="s">
        <v>941</v>
      </c>
      <c r="P9" s="9">
        <f>IF(Table3[[#This Row],[Payment Status]]="Overdue",1,0)</f>
        <v>0</v>
      </c>
      <c r="Q9" s="11"/>
      <c r="R9" s="4" t="s">
        <v>57</v>
      </c>
      <c r="S9" s="4" t="s">
        <v>63</v>
      </c>
    </row>
    <row r="10" spans="1:19" x14ac:dyDescent="0.3">
      <c r="A10" s="4" t="s">
        <v>678</v>
      </c>
      <c r="B10" s="8" t="s">
        <v>630</v>
      </c>
      <c r="C10" s="26" t="s">
        <v>679</v>
      </c>
      <c r="D10" s="14">
        <v>45294</v>
      </c>
      <c r="E10" s="14">
        <v>45324</v>
      </c>
      <c r="F10" s="17" t="str">
        <f t="shared" si="0"/>
        <v>Jan-2024</v>
      </c>
      <c r="G10" s="2">
        <v>78765.06</v>
      </c>
      <c r="H10" s="26" t="s">
        <v>72</v>
      </c>
      <c r="I10" s="32">
        <v>18</v>
      </c>
      <c r="J10" s="2">
        <v>14177.71</v>
      </c>
      <c r="K10" s="4" t="s">
        <v>44</v>
      </c>
      <c r="L10" s="4" t="s">
        <v>24</v>
      </c>
      <c r="M10" s="4" t="s">
        <v>19</v>
      </c>
      <c r="N10" s="4" t="s">
        <v>117</v>
      </c>
      <c r="O10" s="8" t="s">
        <v>126</v>
      </c>
      <c r="P10" s="9">
        <f>IF(Table3[[#This Row],[Payment Status]]="Overdue",1,0)</f>
        <v>0</v>
      </c>
      <c r="Q10" s="10">
        <v>45319</v>
      </c>
      <c r="R10" s="4" t="s">
        <v>40</v>
      </c>
      <c r="S10" s="4" t="s">
        <v>85</v>
      </c>
    </row>
    <row r="11" spans="1:19" x14ac:dyDescent="0.3">
      <c r="A11" s="4" t="s">
        <v>851</v>
      </c>
      <c r="B11" s="4" t="s">
        <v>163</v>
      </c>
      <c r="C11" s="26" t="s">
        <v>852</v>
      </c>
      <c r="D11" s="14">
        <v>45884</v>
      </c>
      <c r="E11" s="14">
        <v>45944</v>
      </c>
      <c r="F11" s="17" t="str">
        <f t="shared" si="0"/>
        <v>Aug-2025</v>
      </c>
      <c r="G11" s="2">
        <v>7106.29</v>
      </c>
      <c r="H11" s="26" t="s">
        <v>72</v>
      </c>
      <c r="I11" s="32">
        <v>12</v>
      </c>
      <c r="J11" s="2">
        <v>852.75</v>
      </c>
      <c r="K11" s="5" t="s">
        <v>66</v>
      </c>
      <c r="L11" s="4" t="s">
        <v>66</v>
      </c>
      <c r="M11" s="4" t="s">
        <v>19</v>
      </c>
      <c r="N11" s="5" t="s">
        <v>942</v>
      </c>
      <c r="O11" s="4" t="s">
        <v>126</v>
      </c>
      <c r="P11" s="6">
        <f>IF(Table3[[#This Row],[Payment Status]]="Overdue",1,0)</f>
        <v>0</v>
      </c>
      <c r="Q11" s="10">
        <v>45898</v>
      </c>
      <c r="R11" s="4" t="s">
        <v>184</v>
      </c>
      <c r="S11" s="5" t="s">
        <v>941</v>
      </c>
    </row>
    <row r="12" spans="1:19" x14ac:dyDescent="0.3">
      <c r="A12" s="4" t="s">
        <v>862</v>
      </c>
      <c r="B12" s="4" t="s">
        <v>153</v>
      </c>
      <c r="C12" s="26" t="s">
        <v>863</v>
      </c>
      <c r="D12" s="14">
        <v>45848</v>
      </c>
      <c r="E12" s="14">
        <v>45878</v>
      </c>
      <c r="F12" s="17" t="str">
        <f t="shared" si="0"/>
        <v>Jul-2025</v>
      </c>
      <c r="G12" s="2">
        <v>83629.95</v>
      </c>
      <c r="H12" s="26" t="s">
        <v>52</v>
      </c>
      <c r="I12" s="32">
        <v>18</v>
      </c>
      <c r="J12" s="2">
        <v>15053.39</v>
      </c>
      <c r="K12" s="4" t="s">
        <v>97</v>
      </c>
      <c r="L12" s="4" t="s">
        <v>60</v>
      </c>
      <c r="M12" s="4" t="s">
        <v>25</v>
      </c>
      <c r="N12" s="4" t="s">
        <v>26</v>
      </c>
      <c r="O12" s="4" t="s">
        <v>939</v>
      </c>
      <c r="P12" s="6">
        <f>IF(Table3[[#This Row],[Payment Status]]="Overdue",1,0)</f>
        <v>0</v>
      </c>
      <c r="Q12" s="11"/>
      <c r="R12" s="4" t="s">
        <v>40</v>
      </c>
      <c r="S12" s="4" t="s">
        <v>41</v>
      </c>
    </row>
    <row r="13" spans="1:19" x14ac:dyDescent="0.3">
      <c r="A13" s="4" t="s">
        <v>49</v>
      </c>
      <c r="B13" s="4" t="s">
        <v>50</v>
      </c>
      <c r="C13" s="26" t="s">
        <v>51</v>
      </c>
      <c r="D13" s="14">
        <v>45575</v>
      </c>
      <c r="E13" s="14">
        <v>45939</v>
      </c>
      <c r="F13" s="17" t="str">
        <f t="shared" si="0"/>
        <v>Oct-2024</v>
      </c>
      <c r="G13" s="2">
        <v>65579.47</v>
      </c>
      <c r="H13" s="26" t="s">
        <v>52</v>
      </c>
      <c r="I13" s="32">
        <v>18</v>
      </c>
      <c r="J13" s="2">
        <v>11804.3</v>
      </c>
      <c r="K13" s="4" t="s">
        <v>53</v>
      </c>
      <c r="L13" s="4" t="s">
        <v>54</v>
      </c>
      <c r="M13" s="4" t="s">
        <v>55</v>
      </c>
      <c r="N13" s="4" t="s">
        <v>56</v>
      </c>
      <c r="O13" s="4" t="s">
        <v>25</v>
      </c>
      <c r="P13" s="6">
        <f>IF(Table3[[#This Row],[Payment Status]]="Overdue",1,0)</f>
        <v>0</v>
      </c>
      <c r="Q13" s="11"/>
      <c r="R13" s="4" t="s">
        <v>57</v>
      </c>
      <c r="S13" s="4" t="s">
        <v>41</v>
      </c>
    </row>
    <row r="14" spans="1:19" x14ac:dyDescent="0.3">
      <c r="A14" s="4" t="s">
        <v>405</v>
      </c>
      <c r="B14" s="4" t="s">
        <v>923</v>
      </c>
      <c r="C14" s="26" t="s">
        <v>406</v>
      </c>
      <c r="D14" s="14">
        <v>45393</v>
      </c>
      <c r="E14" s="14">
        <v>45865</v>
      </c>
      <c r="F14" s="17" t="str">
        <f t="shared" si="0"/>
        <v>Apr-2024</v>
      </c>
      <c r="G14" s="2">
        <v>82780.070000000007</v>
      </c>
      <c r="H14" s="26" t="s">
        <v>18</v>
      </c>
      <c r="I14" s="32">
        <v>5</v>
      </c>
      <c r="J14" s="2">
        <v>4139</v>
      </c>
      <c r="K14" s="4" t="s">
        <v>230</v>
      </c>
      <c r="L14" s="4" t="s">
        <v>34</v>
      </c>
      <c r="M14" s="4" t="s">
        <v>25</v>
      </c>
      <c r="N14" s="4" t="s">
        <v>91</v>
      </c>
      <c r="O14" s="4" t="s">
        <v>126</v>
      </c>
      <c r="P14" s="6">
        <f>IF(Table3[[#This Row],[Payment Status]]="Overdue",1,0)</f>
        <v>0</v>
      </c>
      <c r="Q14" s="10">
        <v>45898</v>
      </c>
      <c r="R14" s="4" t="s">
        <v>20</v>
      </c>
      <c r="S14" s="4" t="s">
        <v>29</v>
      </c>
    </row>
    <row r="15" spans="1:19" x14ac:dyDescent="0.3">
      <c r="A15" s="4" t="s">
        <v>793</v>
      </c>
      <c r="B15" s="4" t="s">
        <v>47</v>
      </c>
      <c r="C15" s="26" t="s">
        <v>926</v>
      </c>
      <c r="D15" s="14">
        <v>45363</v>
      </c>
      <c r="E15" s="14">
        <v>45755</v>
      </c>
      <c r="F15" s="17" t="str">
        <f t="shared" si="0"/>
        <v>Mar-2024</v>
      </c>
      <c r="G15" s="2">
        <v>29944.75</v>
      </c>
      <c r="H15" s="26" t="s">
        <v>52</v>
      </c>
      <c r="I15" s="32">
        <v>28</v>
      </c>
      <c r="J15" s="2">
        <v>8384.5300000000007</v>
      </c>
      <c r="K15" s="4" t="s">
        <v>33</v>
      </c>
      <c r="L15" s="4" t="s">
        <v>79</v>
      </c>
      <c r="M15" s="4" t="s">
        <v>19</v>
      </c>
      <c r="N15" s="4" t="s">
        <v>100</v>
      </c>
      <c r="O15" s="4" t="s">
        <v>25</v>
      </c>
      <c r="P15" s="6">
        <f>IF(Table3[[#This Row],[Payment Status]]="Overdue",1,0)</f>
        <v>0</v>
      </c>
      <c r="Q15" s="11"/>
      <c r="R15" s="4" t="s">
        <v>184</v>
      </c>
      <c r="S15" s="4" t="s">
        <v>41</v>
      </c>
    </row>
    <row r="16" spans="1:19" x14ac:dyDescent="0.3">
      <c r="A16" s="4" t="s">
        <v>581</v>
      </c>
      <c r="B16" s="4" t="s">
        <v>155</v>
      </c>
      <c r="C16" s="26" t="s">
        <v>582</v>
      </c>
      <c r="D16" s="14">
        <v>45322</v>
      </c>
      <c r="E16" s="14">
        <v>45784</v>
      </c>
      <c r="F16" s="17" t="str">
        <f t="shared" si="0"/>
        <v>Jan-2024</v>
      </c>
      <c r="G16" s="2">
        <v>31054.19</v>
      </c>
      <c r="H16" s="26" t="s">
        <v>72</v>
      </c>
      <c r="I16" s="32">
        <v>12</v>
      </c>
      <c r="J16" s="2">
        <v>3726.5</v>
      </c>
      <c r="K16" s="5" t="s">
        <v>66</v>
      </c>
      <c r="L16" s="4" t="s">
        <v>34</v>
      </c>
      <c r="M16" s="4" t="s">
        <v>55</v>
      </c>
      <c r="N16" s="5" t="s">
        <v>942</v>
      </c>
      <c r="O16" s="4" t="s">
        <v>27</v>
      </c>
      <c r="P16" s="6">
        <f>IF(Table3[[#This Row],[Payment Status]]="Overdue",1,0)</f>
        <v>0</v>
      </c>
      <c r="Q16" s="11"/>
      <c r="R16" s="4" t="s">
        <v>62</v>
      </c>
      <c r="S16" s="4" t="s">
        <v>63</v>
      </c>
    </row>
    <row r="17" spans="1:19" x14ac:dyDescent="0.3">
      <c r="A17" s="4" t="s">
        <v>597</v>
      </c>
      <c r="B17" s="4" t="s">
        <v>190</v>
      </c>
      <c r="C17" s="26" t="s">
        <v>598</v>
      </c>
      <c r="D17" s="14">
        <v>45292</v>
      </c>
      <c r="E17" s="14">
        <v>45926</v>
      </c>
      <c r="F17" s="17" t="str">
        <f t="shared" si="0"/>
        <v>Jan-2024</v>
      </c>
      <c r="G17" s="2">
        <v>36626.01</v>
      </c>
      <c r="H17" s="26" t="s">
        <v>18</v>
      </c>
      <c r="I17" s="32">
        <v>18</v>
      </c>
      <c r="J17" s="2">
        <v>6592.68</v>
      </c>
      <c r="K17" s="4" t="s">
        <v>53</v>
      </c>
      <c r="L17" s="4" t="s">
        <v>60</v>
      </c>
      <c r="M17" s="4" t="s">
        <v>39</v>
      </c>
      <c r="N17" s="5" t="s">
        <v>942</v>
      </c>
      <c r="O17" s="6" t="s">
        <v>126</v>
      </c>
      <c r="P17" s="6">
        <f>IF(Table3[[#This Row],[Payment Status]]="Overdue",1,0)</f>
        <v>0</v>
      </c>
      <c r="Q17" s="10">
        <v>45327</v>
      </c>
      <c r="R17" s="8" t="s">
        <v>941</v>
      </c>
      <c r="S17" s="4" t="s">
        <v>41</v>
      </c>
    </row>
    <row r="18" spans="1:19" x14ac:dyDescent="0.3">
      <c r="A18" s="4" t="s">
        <v>329</v>
      </c>
      <c r="B18" s="4" t="s">
        <v>153</v>
      </c>
      <c r="C18" s="26" t="s">
        <v>330</v>
      </c>
      <c r="D18" s="14">
        <v>45794</v>
      </c>
      <c r="E18" s="14">
        <v>45999</v>
      </c>
      <c r="F18" s="17" t="str">
        <f t="shared" si="0"/>
        <v>May-2025</v>
      </c>
      <c r="G18" s="2">
        <v>42097.9</v>
      </c>
      <c r="H18" s="26" t="s">
        <v>18</v>
      </c>
      <c r="I18" s="32">
        <v>0</v>
      </c>
      <c r="J18" s="2">
        <v>0</v>
      </c>
      <c r="K18" s="4" t="s">
        <v>73</v>
      </c>
      <c r="L18" s="4" t="s">
        <v>24</v>
      </c>
      <c r="M18" s="4" t="s">
        <v>19</v>
      </c>
      <c r="N18" s="4" t="s">
        <v>117</v>
      </c>
      <c r="O18" s="4" t="s">
        <v>111</v>
      </c>
      <c r="P18" s="6">
        <f>IF(Table3[[#This Row],[Payment Status]]="Overdue",1,0)</f>
        <v>0</v>
      </c>
      <c r="Q18" s="11"/>
      <c r="R18" s="4" t="s">
        <v>28</v>
      </c>
      <c r="S18" s="4" t="s">
        <v>85</v>
      </c>
    </row>
    <row r="19" spans="1:19" x14ac:dyDescent="0.3">
      <c r="A19" s="4" t="s">
        <v>915</v>
      </c>
      <c r="B19" s="4" t="s">
        <v>163</v>
      </c>
      <c r="C19" s="26" t="s">
        <v>927</v>
      </c>
      <c r="D19" s="14">
        <v>45764</v>
      </c>
      <c r="E19" s="14">
        <v>45883</v>
      </c>
      <c r="F19" s="17" t="str">
        <f t="shared" si="0"/>
        <v>Apr-2025</v>
      </c>
      <c r="G19" s="2">
        <v>62456.5</v>
      </c>
      <c r="H19" s="26" t="s">
        <v>52</v>
      </c>
      <c r="I19" s="32">
        <v>18</v>
      </c>
      <c r="J19" s="2">
        <v>11242.17</v>
      </c>
      <c r="K19" s="4" t="s">
        <v>97</v>
      </c>
      <c r="L19" s="4" t="s">
        <v>54</v>
      </c>
      <c r="M19" s="4" t="s">
        <v>941</v>
      </c>
      <c r="N19" s="4" t="s">
        <v>26</v>
      </c>
      <c r="O19" s="8" t="s">
        <v>111</v>
      </c>
      <c r="P19" s="9">
        <f>IF(Table3[[#This Row],[Payment Status]]="Overdue",1,0)</f>
        <v>0</v>
      </c>
      <c r="Q19" s="11"/>
      <c r="R19" s="4" t="s">
        <v>62</v>
      </c>
      <c r="S19" s="8" t="s">
        <v>88</v>
      </c>
    </row>
    <row r="20" spans="1:19" x14ac:dyDescent="0.3">
      <c r="A20" s="4" t="s">
        <v>446</v>
      </c>
      <c r="B20" s="4" t="s">
        <v>50</v>
      </c>
      <c r="C20" s="26" t="s">
        <v>574</v>
      </c>
      <c r="D20" s="14">
        <v>45782</v>
      </c>
      <c r="E20" s="14">
        <v>45853</v>
      </c>
      <c r="F20" s="17" t="str">
        <f t="shared" si="0"/>
        <v>May-2025</v>
      </c>
      <c r="G20" s="2">
        <v>63249.16</v>
      </c>
      <c r="H20" s="26" t="s">
        <v>18</v>
      </c>
      <c r="I20" s="32">
        <v>28</v>
      </c>
      <c r="J20" s="2">
        <v>17709.759999999998</v>
      </c>
      <c r="K20" s="4" t="s">
        <v>73</v>
      </c>
      <c r="L20" s="4" t="s">
        <v>60</v>
      </c>
      <c r="M20" s="4" t="s">
        <v>25</v>
      </c>
      <c r="N20" s="4" t="s">
        <v>100</v>
      </c>
      <c r="O20" s="8" t="s">
        <v>126</v>
      </c>
      <c r="P20" s="9">
        <f>IF(Table3[[#This Row],[Payment Status]]="Overdue",1,0)</f>
        <v>0</v>
      </c>
      <c r="Q20" s="10">
        <v>45877</v>
      </c>
      <c r="R20" s="4" t="s">
        <v>62</v>
      </c>
      <c r="S20" s="4" t="s">
        <v>85</v>
      </c>
    </row>
    <row r="21" spans="1:19" x14ac:dyDescent="0.3">
      <c r="A21" s="4" t="s">
        <v>275</v>
      </c>
      <c r="B21" s="4" t="s">
        <v>197</v>
      </c>
      <c r="C21" s="26" t="s">
        <v>276</v>
      </c>
      <c r="D21" s="14">
        <v>45811</v>
      </c>
      <c r="E21" s="14">
        <v>45913</v>
      </c>
      <c r="F21" s="17" t="str">
        <f t="shared" si="0"/>
        <v>Jun-2025</v>
      </c>
      <c r="G21" s="2">
        <v>80423.360000000001</v>
      </c>
      <c r="H21" s="26" t="s">
        <v>18</v>
      </c>
      <c r="I21" s="32">
        <v>18</v>
      </c>
      <c r="J21" s="2">
        <v>14476.2</v>
      </c>
      <c r="K21" s="4" t="s">
        <v>165</v>
      </c>
      <c r="L21" s="4" t="s">
        <v>54</v>
      </c>
      <c r="M21" s="4" t="s">
        <v>39</v>
      </c>
      <c r="N21" s="4" t="s">
        <v>91</v>
      </c>
      <c r="O21" s="4" t="s">
        <v>126</v>
      </c>
      <c r="P21" s="6">
        <f>IF(Table3[[#This Row],[Payment Status]]="Overdue",1,0)</f>
        <v>0</v>
      </c>
      <c r="Q21" s="10">
        <v>45770</v>
      </c>
      <c r="R21" s="4" t="s">
        <v>62</v>
      </c>
      <c r="S21" s="4" t="s">
        <v>67</v>
      </c>
    </row>
    <row r="22" spans="1:19" x14ac:dyDescent="0.3">
      <c r="A22" s="4" t="s">
        <v>621</v>
      </c>
      <c r="B22" s="4" t="s">
        <v>155</v>
      </c>
      <c r="C22" s="26" t="s">
        <v>622</v>
      </c>
      <c r="D22" s="14">
        <v>45551</v>
      </c>
      <c r="E22" s="14">
        <v>45898</v>
      </c>
      <c r="F22" s="17" t="str">
        <f t="shared" si="0"/>
        <v>Sep-2024</v>
      </c>
      <c r="G22" s="2">
        <v>7272.94</v>
      </c>
      <c r="H22" s="26" t="s">
        <v>72</v>
      </c>
      <c r="I22" s="32">
        <v>5</v>
      </c>
      <c r="J22" s="2">
        <v>363.65</v>
      </c>
      <c r="K22" s="4" t="s">
        <v>165</v>
      </c>
      <c r="L22" s="4" t="s">
        <v>79</v>
      </c>
      <c r="M22" s="4" t="s">
        <v>25</v>
      </c>
      <c r="N22" s="4" t="s">
        <v>80</v>
      </c>
      <c r="O22" s="4" t="s">
        <v>126</v>
      </c>
      <c r="P22" s="6">
        <f>IF(Table3[[#This Row],[Payment Status]]="Overdue",1,0)</f>
        <v>0</v>
      </c>
      <c r="Q22" s="10">
        <v>45947</v>
      </c>
      <c r="R22" s="4" t="s">
        <v>184</v>
      </c>
      <c r="S22" s="4" t="s">
        <v>85</v>
      </c>
    </row>
    <row r="23" spans="1:19" x14ac:dyDescent="0.3">
      <c r="A23" s="4" t="s">
        <v>788</v>
      </c>
      <c r="B23" s="4" t="s">
        <v>924</v>
      </c>
      <c r="C23" s="26" t="s">
        <v>789</v>
      </c>
      <c r="D23" s="14">
        <v>45901</v>
      </c>
      <c r="F23" s="17" t="str">
        <f t="shared" si="0"/>
        <v>Sep-2025</v>
      </c>
      <c r="G23" s="2">
        <v>48002.82</v>
      </c>
      <c r="H23" s="26" t="s">
        <v>52</v>
      </c>
      <c r="I23" s="32">
        <v>28</v>
      </c>
      <c r="J23" s="2">
        <v>13440.79</v>
      </c>
      <c r="K23" s="4" t="s">
        <v>53</v>
      </c>
      <c r="L23" s="4" t="s">
        <v>79</v>
      </c>
      <c r="M23" s="4" t="s">
        <v>61</v>
      </c>
      <c r="N23" s="5" t="s">
        <v>942</v>
      </c>
      <c r="O23" s="8" t="s">
        <v>126</v>
      </c>
      <c r="P23" s="9">
        <f>IF(Table3[[#This Row],[Payment Status]]="Overdue",1,0)</f>
        <v>0</v>
      </c>
      <c r="Q23" s="10">
        <v>45566</v>
      </c>
      <c r="R23" s="4" t="s">
        <v>62</v>
      </c>
      <c r="S23" s="4" t="s">
        <v>41</v>
      </c>
    </row>
    <row r="24" spans="1:19" x14ac:dyDescent="0.3">
      <c r="A24" s="4" t="s">
        <v>466</v>
      </c>
      <c r="B24" s="4" t="s">
        <v>923</v>
      </c>
      <c r="C24" s="26" t="s">
        <v>467</v>
      </c>
      <c r="D24" s="14">
        <v>45558</v>
      </c>
      <c r="E24" s="14">
        <v>45696</v>
      </c>
      <c r="F24" s="17" t="str">
        <f t="shared" si="0"/>
        <v>Sep-2024</v>
      </c>
      <c r="G24" s="2">
        <v>45353.43</v>
      </c>
      <c r="H24" s="26" t="s">
        <v>72</v>
      </c>
      <c r="I24" s="32">
        <v>0</v>
      </c>
      <c r="J24" s="2">
        <v>0</v>
      </c>
      <c r="K24" s="4" t="s">
        <v>73</v>
      </c>
      <c r="L24" s="4" t="s">
        <v>70</v>
      </c>
      <c r="M24" s="4" t="s">
        <v>19</v>
      </c>
      <c r="N24" s="5" t="s">
        <v>942</v>
      </c>
      <c r="O24" s="4" t="s">
        <v>27</v>
      </c>
      <c r="P24" s="6">
        <f>IF(Table3[[#This Row],[Payment Status]]="Overdue",1,0)</f>
        <v>0</v>
      </c>
      <c r="Q24" s="11"/>
      <c r="R24" s="4" t="s">
        <v>57</v>
      </c>
      <c r="S24" s="4" t="s">
        <v>88</v>
      </c>
    </row>
    <row r="25" spans="1:19" x14ac:dyDescent="0.3">
      <c r="A25" s="4" t="s">
        <v>916</v>
      </c>
      <c r="B25" s="4" t="s">
        <v>47</v>
      </c>
      <c r="C25" s="26" t="s">
        <v>135</v>
      </c>
      <c r="D25" s="14">
        <v>45824</v>
      </c>
      <c r="F25" s="17" t="str">
        <f t="shared" si="0"/>
        <v>Jun-2025</v>
      </c>
      <c r="G25" s="2">
        <v>23817.06</v>
      </c>
      <c r="H25" s="26" t="s">
        <v>72</v>
      </c>
      <c r="I25" s="32">
        <v>18</v>
      </c>
      <c r="J25" s="2">
        <v>4287.07</v>
      </c>
      <c r="K25" s="4" t="s">
        <v>73</v>
      </c>
      <c r="L25" s="4" t="s">
        <v>98</v>
      </c>
      <c r="M25" s="4" t="s">
        <v>25</v>
      </c>
      <c r="N25" s="5" t="s">
        <v>942</v>
      </c>
      <c r="O25" s="4" t="s">
        <v>92</v>
      </c>
      <c r="P25" s="6">
        <f>IF(Table3[[#This Row],[Payment Status]]="Overdue",1,0)</f>
        <v>1</v>
      </c>
      <c r="Q25" s="11"/>
      <c r="R25" s="4" t="s">
        <v>62</v>
      </c>
      <c r="S25" s="4" t="s">
        <v>88</v>
      </c>
    </row>
    <row r="26" spans="1:19" x14ac:dyDescent="0.3">
      <c r="A26" s="4" t="s">
        <v>134</v>
      </c>
      <c r="B26" s="4" t="s">
        <v>153</v>
      </c>
      <c r="C26" s="26" t="s">
        <v>765</v>
      </c>
      <c r="D26" s="14">
        <v>45812</v>
      </c>
      <c r="E26" s="14">
        <v>45887</v>
      </c>
      <c r="F26" s="17" t="str">
        <f t="shared" si="0"/>
        <v>Jun-2025</v>
      </c>
      <c r="G26" s="2">
        <v>67270.789999999994</v>
      </c>
      <c r="H26" s="26" t="s">
        <v>72</v>
      </c>
      <c r="I26" s="32">
        <v>5</v>
      </c>
      <c r="J26" s="2">
        <v>3363.54</v>
      </c>
      <c r="K26" s="4" t="s">
        <v>33</v>
      </c>
      <c r="L26" s="4" t="s">
        <v>79</v>
      </c>
      <c r="M26" s="4" t="s">
        <v>39</v>
      </c>
      <c r="N26" s="4" t="s">
        <v>26</v>
      </c>
      <c r="O26" s="4" t="s">
        <v>27</v>
      </c>
      <c r="P26" s="6">
        <f>IF(Table3[[#This Row],[Payment Status]]="Overdue",1,0)</f>
        <v>0</v>
      </c>
      <c r="Q26" s="11"/>
      <c r="R26" s="4" t="s">
        <v>28</v>
      </c>
      <c r="S26" s="4" t="s">
        <v>63</v>
      </c>
    </row>
    <row r="27" spans="1:19" x14ac:dyDescent="0.3">
      <c r="A27" s="4" t="s">
        <v>643</v>
      </c>
      <c r="B27" s="4" t="s">
        <v>31</v>
      </c>
      <c r="C27" s="26" t="s">
        <v>644</v>
      </c>
      <c r="D27" s="14">
        <v>45619</v>
      </c>
      <c r="E27" s="14">
        <v>45693</v>
      </c>
      <c r="F27" s="17" t="str">
        <f t="shared" si="0"/>
        <v>Nov-2024</v>
      </c>
      <c r="G27" s="2">
        <v>38177.61</v>
      </c>
      <c r="H27" s="26" t="s">
        <v>72</v>
      </c>
      <c r="I27" s="32">
        <v>18</v>
      </c>
      <c r="J27" s="2">
        <v>6871.97</v>
      </c>
      <c r="K27" s="4" t="s">
        <v>165</v>
      </c>
      <c r="L27" s="4" t="s">
        <v>54</v>
      </c>
      <c r="M27" s="4" t="s">
        <v>55</v>
      </c>
      <c r="N27" s="4" t="s">
        <v>35</v>
      </c>
      <c r="O27" s="4" t="s">
        <v>27</v>
      </c>
      <c r="P27" s="6">
        <f>IF(Table3[[#This Row],[Payment Status]]="Overdue",1,0)</f>
        <v>0</v>
      </c>
      <c r="Q27" s="11"/>
      <c r="R27" s="4" t="s">
        <v>184</v>
      </c>
      <c r="S27" s="4" t="s">
        <v>88</v>
      </c>
    </row>
    <row r="28" spans="1:19" x14ac:dyDescent="0.3">
      <c r="A28" s="4" t="s">
        <v>738</v>
      </c>
      <c r="B28" s="4" t="s">
        <v>311</v>
      </c>
      <c r="C28" s="26" t="s">
        <v>739</v>
      </c>
      <c r="D28" s="14">
        <v>45762</v>
      </c>
      <c r="E28" s="14">
        <v>45782</v>
      </c>
      <c r="F28" s="17" t="str">
        <f t="shared" si="0"/>
        <v>Apr-2025</v>
      </c>
      <c r="G28" s="2">
        <v>82072.479999999996</v>
      </c>
      <c r="H28" s="26" t="s">
        <v>18</v>
      </c>
      <c r="I28" s="32">
        <v>0</v>
      </c>
      <c r="J28" s="2">
        <v>0</v>
      </c>
      <c r="K28" s="4" t="s">
        <v>53</v>
      </c>
      <c r="L28" s="4" t="s">
        <v>45</v>
      </c>
      <c r="M28" s="4" t="s">
        <v>19</v>
      </c>
      <c r="N28" s="5" t="s">
        <v>942</v>
      </c>
      <c r="O28" s="4" t="s">
        <v>939</v>
      </c>
      <c r="P28" s="6">
        <f>IF(Table3[[#This Row],[Payment Status]]="Overdue",1,0)</f>
        <v>0</v>
      </c>
      <c r="Q28" s="11"/>
      <c r="R28" s="4" t="s">
        <v>20</v>
      </c>
      <c r="S28" s="4" t="s">
        <v>41</v>
      </c>
    </row>
    <row r="29" spans="1:19" x14ac:dyDescent="0.3">
      <c r="A29" s="4" t="s">
        <v>455</v>
      </c>
      <c r="B29" s="4" t="s">
        <v>163</v>
      </c>
      <c r="C29" s="26" t="s">
        <v>456</v>
      </c>
      <c r="D29" s="14">
        <v>45498</v>
      </c>
      <c r="E29" s="14">
        <v>45515</v>
      </c>
      <c r="F29" s="17" t="str">
        <f t="shared" si="0"/>
        <v>Jul-2024</v>
      </c>
      <c r="G29" s="2">
        <v>51877.18</v>
      </c>
      <c r="H29" s="26" t="s">
        <v>52</v>
      </c>
      <c r="I29" s="32">
        <v>5</v>
      </c>
      <c r="J29" s="2">
        <v>2593.86</v>
      </c>
      <c r="K29" s="4" t="s">
        <v>97</v>
      </c>
      <c r="L29" s="4" t="s">
        <v>70</v>
      </c>
      <c r="M29" s="4" t="s">
        <v>55</v>
      </c>
      <c r="N29" s="4" t="s">
        <v>117</v>
      </c>
      <c r="O29" s="4" t="s">
        <v>111</v>
      </c>
      <c r="P29" s="6">
        <f>IF(Table3[[#This Row],[Payment Status]]="Overdue",1,0)</f>
        <v>0</v>
      </c>
      <c r="R29" s="4" t="s">
        <v>40</v>
      </c>
      <c r="S29" s="4" t="s">
        <v>88</v>
      </c>
    </row>
    <row r="30" spans="1:19" x14ac:dyDescent="0.3">
      <c r="A30" s="4" t="s">
        <v>113</v>
      </c>
      <c r="B30" s="4" t="s">
        <v>121</v>
      </c>
      <c r="C30" s="26" t="s">
        <v>245</v>
      </c>
      <c r="D30" s="14">
        <v>45945</v>
      </c>
      <c r="F30" s="17" t="str">
        <f t="shared" si="0"/>
        <v>Oct-2025</v>
      </c>
      <c r="G30" s="2">
        <v>3263.75</v>
      </c>
      <c r="H30" s="26" t="s">
        <v>18</v>
      </c>
      <c r="I30" s="32">
        <v>28</v>
      </c>
      <c r="J30" s="2">
        <v>913.85</v>
      </c>
      <c r="K30" s="4" t="s">
        <v>165</v>
      </c>
      <c r="L30" s="4" t="s">
        <v>24</v>
      </c>
      <c r="M30" s="4" t="s">
        <v>39</v>
      </c>
      <c r="N30" s="4" t="s">
        <v>117</v>
      </c>
      <c r="O30" s="4" t="s">
        <v>92</v>
      </c>
      <c r="P30" s="6">
        <f>IF(Table3[[#This Row],[Payment Status]]="Overdue",1,0)</f>
        <v>1</v>
      </c>
      <c r="Q30" s="11"/>
      <c r="R30" s="4" t="s">
        <v>40</v>
      </c>
      <c r="S30" s="4" t="s">
        <v>67</v>
      </c>
    </row>
    <row r="31" spans="1:19" x14ac:dyDescent="0.3">
      <c r="A31" s="4" t="s">
        <v>550</v>
      </c>
      <c r="B31" s="4" t="s">
        <v>141</v>
      </c>
      <c r="C31" s="26" t="s">
        <v>551</v>
      </c>
      <c r="D31" s="14">
        <v>45776</v>
      </c>
      <c r="F31" s="17" t="str">
        <f t="shared" si="0"/>
        <v>Apr-2025</v>
      </c>
      <c r="G31" s="2">
        <v>49967.38</v>
      </c>
      <c r="H31" s="26" t="s">
        <v>52</v>
      </c>
      <c r="I31" s="32">
        <v>28</v>
      </c>
      <c r="J31" s="2">
        <v>13990.87</v>
      </c>
      <c r="K31" s="4" t="s">
        <v>73</v>
      </c>
      <c r="L31" s="4" t="s">
        <v>79</v>
      </c>
      <c r="M31" s="4" t="s">
        <v>61</v>
      </c>
      <c r="N31" s="4" t="s">
        <v>117</v>
      </c>
      <c r="O31" s="4" t="s">
        <v>92</v>
      </c>
      <c r="P31" s="6">
        <f>IF(Table3[[#This Row],[Payment Status]]="Overdue",1,0)</f>
        <v>1</v>
      </c>
      <c r="Q31" s="11"/>
      <c r="R31" s="8" t="s">
        <v>941</v>
      </c>
      <c r="S31" s="4" t="s">
        <v>63</v>
      </c>
    </row>
    <row r="32" spans="1:19" x14ac:dyDescent="0.3">
      <c r="A32" s="4" t="s">
        <v>294</v>
      </c>
      <c r="B32" s="4" t="s">
        <v>163</v>
      </c>
      <c r="C32" s="26" t="s">
        <v>295</v>
      </c>
      <c r="D32" s="14">
        <v>45712</v>
      </c>
      <c r="F32" s="17" t="str">
        <f t="shared" si="0"/>
        <v>Feb-2025</v>
      </c>
      <c r="G32" s="2">
        <v>44567.66</v>
      </c>
      <c r="H32" s="26" t="s">
        <v>18</v>
      </c>
      <c r="I32" s="32">
        <v>18</v>
      </c>
      <c r="J32" s="2">
        <v>8022.18</v>
      </c>
      <c r="K32" s="4" t="s">
        <v>165</v>
      </c>
      <c r="L32" s="4" t="s">
        <v>940</v>
      </c>
      <c r="M32" s="4" t="s">
        <v>19</v>
      </c>
      <c r="N32" s="4" t="s">
        <v>100</v>
      </c>
      <c r="O32" s="4" t="s">
        <v>92</v>
      </c>
      <c r="P32" s="6">
        <f>IF(Table3[[#This Row],[Payment Status]]="Overdue",1,0)</f>
        <v>1</v>
      </c>
      <c r="Q32" s="11"/>
      <c r="R32" s="4" t="s">
        <v>20</v>
      </c>
      <c r="S32" s="4" t="s">
        <v>63</v>
      </c>
    </row>
    <row r="33" spans="1:19" x14ac:dyDescent="0.3">
      <c r="A33" s="4" t="s">
        <v>917</v>
      </c>
      <c r="B33" s="4" t="s">
        <v>155</v>
      </c>
      <c r="C33" s="26" t="s">
        <v>359</v>
      </c>
      <c r="D33" s="14">
        <v>45661</v>
      </c>
      <c r="E33" s="14">
        <v>45915</v>
      </c>
      <c r="F33" s="17" t="str">
        <f t="shared" si="0"/>
        <v>Jan-2025</v>
      </c>
      <c r="G33" s="2">
        <v>26517.15</v>
      </c>
      <c r="H33" s="26" t="s">
        <v>18</v>
      </c>
      <c r="I33" s="32">
        <v>5</v>
      </c>
      <c r="J33" s="2">
        <v>1325.86</v>
      </c>
      <c r="K33" s="5" t="s">
        <v>66</v>
      </c>
      <c r="L33" s="4" t="s">
        <v>54</v>
      </c>
      <c r="M33" s="4" t="s">
        <v>55</v>
      </c>
      <c r="N33" s="4" t="s">
        <v>26</v>
      </c>
      <c r="O33" s="4" t="s">
        <v>111</v>
      </c>
      <c r="P33" s="6">
        <f>IF(Table3[[#This Row],[Payment Status]]="Overdue",1,0)</f>
        <v>0</v>
      </c>
      <c r="Q33" s="11"/>
      <c r="R33" s="4" t="s">
        <v>184</v>
      </c>
      <c r="S33" s="4" t="s">
        <v>67</v>
      </c>
    </row>
    <row r="34" spans="1:19" x14ac:dyDescent="0.3">
      <c r="A34" s="4" t="s">
        <v>619</v>
      </c>
      <c r="B34" s="4" t="s">
        <v>141</v>
      </c>
      <c r="C34" s="26" t="s">
        <v>620</v>
      </c>
      <c r="D34" s="14">
        <v>45598</v>
      </c>
      <c r="E34" s="14">
        <v>45716</v>
      </c>
      <c r="F34" s="17" t="str">
        <f t="shared" si="0"/>
        <v>Nov-2024</v>
      </c>
      <c r="G34" s="2">
        <v>22819.599999999999</v>
      </c>
      <c r="H34" s="26" t="s">
        <v>72</v>
      </c>
      <c r="I34" s="32">
        <v>28</v>
      </c>
      <c r="J34" s="2">
        <v>6389.49</v>
      </c>
      <c r="K34" s="4" t="s">
        <v>73</v>
      </c>
      <c r="L34" s="4" t="s">
        <v>940</v>
      </c>
      <c r="M34" s="4" t="s">
        <v>39</v>
      </c>
      <c r="N34" s="4" t="s">
        <v>117</v>
      </c>
      <c r="O34" s="4" t="s">
        <v>111</v>
      </c>
      <c r="P34" s="6">
        <f>IF(Table3[[#This Row],[Payment Status]]="Overdue",1,0)</f>
        <v>0</v>
      </c>
      <c r="Q34" s="11"/>
      <c r="R34" s="4" t="s">
        <v>184</v>
      </c>
      <c r="S34" s="4" t="s">
        <v>41</v>
      </c>
    </row>
    <row r="35" spans="1:19" x14ac:dyDescent="0.3">
      <c r="A35" s="4" t="s">
        <v>510</v>
      </c>
      <c r="B35" s="4" t="s">
        <v>121</v>
      </c>
      <c r="C35" s="26" t="s">
        <v>511</v>
      </c>
      <c r="D35" s="14">
        <v>45399</v>
      </c>
      <c r="E35" s="14">
        <v>45682</v>
      </c>
      <c r="F35" s="17" t="str">
        <f t="shared" si="0"/>
        <v>Apr-2024</v>
      </c>
      <c r="G35" s="2">
        <v>42178.64</v>
      </c>
      <c r="H35" s="26" t="s">
        <v>52</v>
      </c>
      <c r="I35" s="32">
        <v>18</v>
      </c>
      <c r="J35" s="2">
        <v>7592.16</v>
      </c>
      <c r="K35" s="4" t="s">
        <v>73</v>
      </c>
      <c r="L35" s="4" t="s">
        <v>24</v>
      </c>
      <c r="M35" s="4" t="s">
        <v>55</v>
      </c>
      <c r="N35" s="4" t="s">
        <v>80</v>
      </c>
      <c r="O35" s="9" t="s">
        <v>941</v>
      </c>
      <c r="P35" s="9">
        <f>IF(Table3[[#This Row],[Payment Status]]="Overdue",1,0)</f>
        <v>0</v>
      </c>
      <c r="Q35" s="11"/>
      <c r="R35" s="4" t="s">
        <v>28</v>
      </c>
      <c r="S35" s="4" t="s">
        <v>67</v>
      </c>
    </row>
    <row r="36" spans="1:19" x14ac:dyDescent="0.3">
      <c r="A36" s="4" t="s">
        <v>662</v>
      </c>
      <c r="B36" s="4" t="s">
        <v>137</v>
      </c>
      <c r="C36" s="26" t="s">
        <v>663</v>
      </c>
      <c r="D36" s="14">
        <v>45616</v>
      </c>
      <c r="E36" s="14">
        <v>45618</v>
      </c>
      <c r="F36" s="17" t="str">
        <f t="shared" si="0"/>
        <v>Nov-2024</v>
      </c>
      <c r="G36" s="2">
        <v>74171.7</v>
      </c>
      <c r="H36" s="26" t="s">
        <v>18</v>
      </c>
      <c r="I36" s="32">
        <v>5</v>
      </c>
      <c r="J36" s="2">
        <v>3708.59</v>
      </c>
      <c r="K36" s="4" t="s">
        <v>73</v>
      </c>
      <c r="L36" s="4" t="s">
        <v>70</v>
      </c>
      <c r="M36" s="4" t="s">
        <v>19</v>
      </c>
      <c r="N36" s="4" t="s">
        <v>80</v>
      </c>
      <c r="O36" s="4" t="s">
        <v>126</v>
      </c>
      <c r="P36" s="6">
        <f>IF(Table3[[#This Row],[Payment Status]]="Overdue",1,0)</f>
        <v>0</v>
      </c>
      <c r="Q36" s="10">
        <v>45676</v>
      </c>
      <c r="R36" s="4" t="s">
        <v>62</v>
      </c>
      <c r="S36" s="4" t="s">
        <v>88</v>
      </c>
    </row>
    <row r="37" spans="1:19" x14ac:dyDescent="0.3">
      <c r="A37" s="4" t="s">
        <v>532</v>
      </c>
      <c r="B37" s="4" t="s">
        <v>924</v>
      </c>
      <c r="C37" s="26" t="s">
        <v>533</v>
      </c>
      <c r="D37" s="14">
        <v>45689</v>
      </c>
      <c r="F37" s="17" t="str">
        <f t="shared" si="0"/>
        <v>Feb-2025</v>
      </c>
      <c r="G37" s="2">
        <v>12293.54</v>
      </c>
      <c r="H37" s="26" t="s">
        <v>72</v>
      </c>
      <c r="I37" s="32">
        <v>18</v>
      </c>
      <c r="J37" s="2">
        <v>2212.84</v>
      </c>
      <c r="K37" s="4" t="s">
        <v>97</v>
      </c>
      <c r="L37" s="4" t="s">
        <v>66</v>
      </c>
      <c r="M37" s="4" t="s">
        <v>61</v>
      </c>
      <c r="N37" s="4" t="s">
        <v>91</v>
      </c>
      <c r="O37" s="4" t="s">
        <v>939</v>
      </c>
      <c r="P37" s="6">
        <f>IF(Table3[[#This Row],[Payment Status]]="Overdue",1,0)</f>
        <v>0</v>
      </c>
      <c r="Q37" s="11"/>
      <c r="R37" s="4" t="s">
        <v>941</v>
      </c>
      <c r="S37" s="4" t="s">
        <v>88</v>
      </c>
    </row>
    <row r="38" spans="1:19" x14ac:dyDescent="0.3">
      <c r="A38" s="4" t="s">
        <v>781</v>
      </c>
      <c r="B38" s="4" t="s">
        <v>163</v>
      </c>
      <c r="C38" s="26" t="s">
        <v>782</v>
      </c>
      <c r="D38" s="14">
        <v>45875</v>
      </c>
      <c r="F38" s="17" t="str">
        <f t="shared" si="0"/>
        <v>Aug-2025</v>
      </c>
      <c r="G38" s="2">
        <v>23439.66</v>
      </c>
      <c r="H38" s="26" t="s">
        <v>72</v>
      </c>
      <c r="I38" s="32">
        <v>18</v>
      </c>
      <c r="J38" s="2">
        <v>4219.1400000000003</v>
      </c>
      <c r="K38" s="4" t="s">
        <v>143</v>
      </c>
      <c r="L38" s="4" t="s">
        <v>45</v>
      </c>
      <c r="M38" s="4" t="s">
        <v>25</v>
      </c>
      <c r="N38" s="5" t="s">
        <v>942</v>
      </c>
      <c r="O38" s="6" t="s">
        <v>941</v>
      </c>
      <c r="P38" s="6">
        <f>IF(Table3[[#This Row],[Payment Status]]="Overdue",1,0)</f>
        <v>0</v>
      </c>
      <c r="Q38" s="11"/>
      <c r="R38" s="4" t="s">
        <v>36</v>
      </c>
      <c r="S38" s="4" t="s">
        <v>88</v>
      </c>
    </row>
    <row r="39" spans="1:19" x14ac:dyDescent="0.3">
      <c r="A39" s="4" t="s">
        <v>471</v>
      </c>
      <c r="B39" s="4" t="s">
        <v>311</v>
      </c>
      <c r="C39" s="26" t="s">
        <v>472</v>
      </c>
      <c r="D39" s="14">
        <v>45368</v>
      </c>
      <c r="E39" s="14">
        <v>45743</v>
      </c>
      <c r="F39" s="17" t="str">
        <f t="shared" si="0"/>
        <v>Mar-2024</v>
      </c>
      <c r="G39" s="2">
        <v>62290.73</v>
      </c>
      <c r="H39" s="26" t="s">
        <v>18</v>
      </c>
      <c r="I39" s="32">
        <v>5</v>
      </c>
      <c r="J39" s="2">
        <v>3114.54</v>
      </c>
      <c r="K39" s="4" t="s">
        <v>66</v>
      </c>
      <c r="L39" s="4" t="s">
        <v>70</v>
      </c>
      <c r="M39" s="4" t="s">
        <v>39</v>
      </c>
      <c r="N39" s="4" t="s">
        <v>80</v>
      </c>
      <c r="O39" s="4" t="s">
        <v>939</v>
      </c>
      <c r="P39" s="6">
        <f>IF(Table3[[#This Row],[Payment Status]]="Overdue",1,0)</f>
        <v>0</v>
      </c>
      <c r="Q39" s="11"/>
      <c r="R39" s="4" t="s">
        <v>62</v>
      </c>
      <c r="S39" s="4" t="s">
        <v>67</v>
      </c>
    </row>
    <row r="40" spans="1:19" x14ac:dyDescent="0.3">
      <c r="A40" s="4" t="s">
        <v>904</v>
      </c>
      <c r="B40" s="4" t="s">
        <v>137</v>
      </c>
      <c r="C40" s="26" t="s">
        <v>905</v>
      </c>
      <c r="D40" s="14">
        <v>45542</v>
      </c>
      <c r="F40" s="17" t="str">
        <f t="shared" si="0"/>
        <v>Sep-2024</v>
      </c>
      <c r="G40" s="2">
        <v>22589.31</v>
      </c>
      <c r="H40" s="26" t="s">
        <v>52</v>
      </c>
      <c r="I40" s="32">
        <v>18</v>
      </c>
      <c r="J40" s="2">
        <v>4066.08</v>
      </c>
      <c r="K40" s="4" t="s">
        <v>143</v>
      </c>
      <c r="L40" s="4" t="s">
        <v>66</v>
      </c>
      <c r="M40" s="4" t="s">
        <v>61</v>
      </c>
      <c r="N40" s="5" t="s">
        <v>942</v>
      </c>
      <c r="O40" s="4" t="s">
        <v>111</v>
      </c>
      <c r="P40" s="6">
        <f>IF(Table3[[#This Row],[Payment Status]]="Overdue",1,0)</f>
        <v>0</v>
      </c>
      <c r="Q40" s="11"/>
      <c r="R40" s="4" t="s">
        <v>62</v>
      </c>
      <c r="S40" s="4" t="s">
        <v>63</v>
      </c>
    </row>
    <row r="41" spans="1:19" x14ac:dyDescent="0.3">
      <c r="A41" s="4" t="s">
        <v>196</v>
      </c>
      <c r="B41" s="4" t="s">
        <v>197</v>
      </c>
      <c r="C41" s="26" t="s">
        <v>198</v>
      </c>
      <c r="D41" s="14">
        <v>45717</v>
      </c>
      <c r="F41" s="17" t="str">
        <f t="shared" si="0"/>
        <v>Mar-2025</v>
      </c>
      <c r="G41" s="2">
        <v>8396.74</v>
      </c>
      <c r="H41" s="26" t="s">
        <v>52</v>
      </c>
      <c r="I41" s="32">
        <v>12</v>
      </c>
      <c r="J41" s="2">
        <v>1007.61</v>
      </c>
      <c r="K41" s="4" t="s">
        <v>53</v>
      </c>
      <c r="L41" s="4" t="s">
        <v>34</v>
      </c>
      <c r="M41" s="4" t="s">
        <v>39</v>
      </c>
      <c r="N41" s="4" t="s">
        <v>35</v>
      </c>
      <c r="O41" s="4" t="s">
        <v>25</v>
      </c>
      <c r="P41" s="6">
        <f>IF(Table3[[#This Row],[Payment Status]]="Overdue",1,0)</f>
        <v>0</v>
      </c>
      <c r="Q41" s="11"/>
      <c r="R41" s="4" t="s">
        <v>184</v>
      </c>
      <c r="S41" s="4" t="s">
        <v>29</v>
      </c>
    </row>
    <row r="42" spans="1:19" x14ac:dyDescent="0.3">
      <c r="A42" s="4" t="s">
        <v>298</v>
      </c>
      <c r="B42" s="4" t="s">
        <v>206</v>
      </c>
      <c r="C42" s="26" t="s">
        <v>299</v>
      </c>
      <c r="D42" s="14">
        <v>45846</v>
      </c>
      <c r="F42" s="17" t="str">
        <f t="shared" si="0"/>
        <v>Jul-2025</v>
      </c>
      <c r="G42" s="2">
        <v>16255.26</v>
      </c>
      <c r="H42" s="26" t="s">
        <v>52</v>
      </c>
      <c r="I42" s="32">
        <v>18</v>
      </c>
      <c r="J42" s="2">
        <v>2925.95</v>
      </c>
      <c r="K42" s="4" t="s">
        <v>230</v>
      </c>
      <c r="L42" s="4" t="s">
        <v>98</v>
      </c>
      <c r="M42" s="4" t="s">
        <v>61</v>
      </c>
      <c r="N42" s="5" t="s">
        <v>942</v>
      </c>
      <c r="O42" s="4" t="s">
        <v>939</v>
      </c>
      <c r="P42" s="6">
        <f>IF(Table3[[#This Row],[Payment Status]]="Overdue",1,0)</f>
        <v>0</v>
      </c>
      <c r="Q42" s="11"/>
      <c r="R42" s="4" t="s">
        <v>20</v>
      </c>
      <c r="S42" s="4" t="s">
        <v>63</v>
      </c>
    </row>
    <row r="43" spans="1:19" x14ac:dyDescent="0.3">
      <c r="A43" s="4" t="s">
        <v>99</v>
      </c>
      <c r="B43" s="4" t="s">
        <v>128</v>
      </c>
      <c r="C43" s="26" t="s">
        <v>928</v>
      </c>
      <c r="D43" s="14">
        <v>45672</v>
      </c>
      <c r="E43" s="14">
        <v>45845</v>
      </c>
      <c r="F43" s="17" t="str">
        <f t="shared" si="0"/>
        <v>Jan-2025</v>
      </c>
      <c r="G43" s="2">
        <v>9477.25</v>
      </c>
      <c r="H43" s="26" t="s">
        <v>52</v>
      </c>
      <c r="I43" s="32">
        <v>28</v>
      </c>
      <c r="J43" s="2">
        <v>2653.63</v>
      </c>
      <c r="K43" s="4" t="s">
        <v>165</v>
      </c>
      <c r="L43" s="4" t="s">
        <v>54</v>
      </c>
      <c r="M43" s="4" t="s">
        <v>19</v>
      </c>
      <c r="N43" s="4" t="s">
        <v>100</v>
      </c>
      <c r="O43" s="4" t="s">
        <v>111</v>
      </c>
      <c r="P43" s="6">
        <f>IF(Table3[[#This Row],[Payment Status]]="Overdue",1,0)</f>
        <v>0</v>
      </c>
      <c r="Q43" s="11"/>
      <c r="R43" s="4" t="s">
        <v>184</v>
      </c>
      <c r="S43" s="4" t="s">
        <v>85</v>
      </c>
    </row>
    <row r="44" spans="1:19" x14ac:dyDescent="0.3">
      <c r="A44" s="4" t="s">
        <v>390</v>
      </c>
      <c r="B44" s="4" t="s">
        <v>153</v>
      </c>
      <c r="C44" s="26" t="s">
        <v>391</v>
      </c>
      <c r="D44" s="14">
        <v>45323</v>
      </c>
      <c r="E44" s="14">
        <v>45815</v>
      </c>
      <c r="F44" s="17" t="str">
        <f t="shared" si="0"/>
        <v>Feb-2024</v>
      </c>
      <c r="G44" s="2">
        <v>72043.28</v>
      </c>
      <c r="H44" s="26" t="s">
        <v>72</v>
      </c>
      <c r="I44" s="32">
        <v>0</v>
      </c>
      <c r="J44" s="2">
        <v>0</v>
      </c>
      <c r="K44" s="4" t="s">
        <v>33</v>
      </c>
      <c r="L44" s="4" t="s">
        <v>54</v>
      </c>
      <c r="M44" s="4" t="s">
        <v>55</v>
      </c>
      <c r="N44" s="4" t="s">
        <v>35</v>
      </c>
      <c r="O44" s="4" t="s">
        <v>25</v>
      </c>
      <c r="P44" s="6">
        <f>IF(Table3[[#This Row],[Payment Status]]="Overdue",1,0)</f>
        <v>0</v>
      </c>
      <c r="Q44" s="11"/>
      <c r="R44" s="4" t="s">
        <v>57</v>
      </c>
      <c r="S44" s="4" t="s">
        <v>67</v>
      </c>
    </row>
    <row r="45" spans="1:19" x14ac:dyDescent="0.3">
      <c r="A45" s="4" t="s">
        <v>182</v>
      </c>
      <c r="B45" s="4" t="s">
        <v>137</v>
      </c>
      <c r="C45" s="26" t="s">
        <v>183</v>
      </c>
      <c r="D45" s="14">
        <v>45512</v>
      </c>
      <c r="E45" s="14">
        <v>45778</v>
      </c>
      <c r="F45" s="17" t="str">
        <f t="shared" si="0"/>
        <v>Aug-2024</v>
      </c>
      <c r="G45" s="2">
        <v>35262.080000000002</v>
      </c>
      <c r="H45" s="26" t="s">
        <v>52</v>
      </c>
      <c r="I45" s="32">
        <v>18</v>
      </c>
      <c r="J45" s="2">
        <v>6347.17</v>
      </c>
      <c r="K45" s="4" t="s">
        <v>73</v>
      </c>
      <c r="L45" s="4" t="s">
        <v>60</v>
      </c>
      <c r="M45" s="4" t="s">
        <v>19</v>
      </c>
      <c r="N45" s="4" t="s">
        <v>80</v>
      </c>
      <c r="O45" s="4" t="s">
        <v>126</v>
      </c>
      <c r="P45" s="6">
        <f>IF(Table3[[#This Row],[Payment Status]]="Overdue",1,0)</f>
        <v>0</v>
      </c>
      <c r="Q45" s="10">
        <v>45524</v>
      </c>
      <c r="R45" s="4" t="s">
        <v>184</v>
      </c>
      <c r="S45" s="4" t="s">
        <v>41</v>
      </c>
    </row>
    <row r="46" spans="1:19" x14ac:dyDescent="0.3">
      <c r="A46" s="4" t="s">
        <v>655</v>
      </c>
      <c r="B46" s="4" t="s">
        <v>197</v>
      </c>
      <c r="C46" s="26" t="s">
        <v>656</v>
      </c>
      <c r="D46" s="14">
        <v>45658</v>
      </c>
      <c r="E46" s="14">
        <v>45906</v>
      </c>
      <c r="F46" s="17" t="str">
        <f t="shared" si="0"/>
        <v>Jan-2025</v>
      </c>
      <c r="G46" s="2">
        <v>49186.39</v>
      </c>
      <c r="H46" s="26" t="s">
        <v>52</v>
      </c>
      <c r="I46" s="32">
        <v>5</v>
      </c>
      <c r="J46" s="2">
        <v>2459.3200000000002</v>
      </c>
      <c r="K46" s="4" t="s">
        <v>143</v>
      </c>
      <c r="L46" s="4" t="s">
        <v>34</v>
      </c>
      <c r="M46" s="4" t="s">
        <v>61</v>
      </c>
      <c r="N46" s="4" t="s">
        <v>80</v>
      </c>
      <c r="O46" s="6" t="s">
        <v>941</v>
      </c>
      <c r="P46" s="6">
        <f>IF(Table3[[#This Row],[Payment Status]]="Overdue",1,0)</f>
        <v>0</v>
      </c>
      <c r="Q46" s="11"/>
      <c r="R46" s="4" t="s">
        <v>62</v>
      </c>
      <c r="S46" s="4" t="s">
        <v>63</v>
      </c>
    </row>
    <row r="47" spans="1:19" x14ac:dyDescent="0.3">
      <c r="A47" s="4" t="s">
        <v>300</v>
      </c>
      <c r="B47" s="4" t="s">
        <v>163</v>
      </c>
      <c r="C47" s="26" t="s">
        <v>301</v>
      </c>
      <c r="D47" s="14">
        <v>45654</v>
      </c>
      <c r="E47" s="14">
        <v>45702</v>
      </c>
      <c r="F47" s="17" t="str">
        <f t="shared" si="0"/>
        <v>Dec-2024</v>
      </c>
      <c r="G47" s="2">
        <v>7935.64</v>
      </c>
      <c r="H47" s="26" t="s">
        <v>52</v>
      </c>
      <c r="I47" s="32">
        <v>18</v>
      </c>
      <c r="J47" s="2">
        <v>1428.42</v>
      </c>
      <c r="K47" s="4" t="s">
        <v>33</v>
      </c>
      <c r="L47" s="4" t="s">
        <v>60</v>
      </c>
      <c r="M47" s="4" t="s">
        <v>19</v>
      </c>
      <c r="N47" s="4" t="s">
        <v>80</v>
      </c>
      <c r="O47" s="4" t="s">
        <v>126</v>
      </c>
      <c r="P47" s="6">
        <f>IF(Table3[[#This Row],[Payment Status]]="Overdue",1,0)</f>
        <v>0</v>
      </c>
      <c r="Q47" s="10">
        <v>45761</v>
      </c>
      <c r="R47" s="4" t="s">
        <v>40</v>
      </c>
      <c r="S47" s="4" t="s">
        <v>63</v>
      </c>
    </row>
    <row r="48" spans="1:19" x14ac:dyDescent="0.3">
      <c r="A48" s="4" t="s">
        <v>263</v>
      </c>
      <c r="B48" s="4" t="s">
        <v>163</v>
      </c>
      <c r="C48" s="26" t="s">
        <v>264</v>
      </c>
      <c r="D48" s="14">
        <v>45455</v>
      </c>
      <c r="E48" s="14">
        <v>45831</v>
      </c>
      <c r="F48" s="17" t="str">
        <f t="shared" si="0"/>
        <v>Jun-2024</v>
      </c>
      <c r="G48" s="2">
        <v>18860.990000000002</v>
      </c>
      <c r="H48" s="26" t="s">
        <v>52</v>
      </c>
      <c r="I48" s="32">
        <v>12</v>
      </c>
      <c r="J48" s="2">
        <v>2263.3200000000002</v>
      </c>
      <c r="K48" s="4" t="s">
        <v>73</v>
      </c>
      <c r="L48" s="4" t="s">
        <v>34</v>
      </c>
      <c r="M48" s="4" t="s">
        <v>19</v>
      </c>
      <c r="N48" s="4" t="s">
        <v>26</v>
      </c>
      <c r="O48" s="4" t="s">
        <v>92</v>
      </c>
      <c r="P48" s="6">
        <f>IF(Table3[[#This Row],[Payment Status]]="Overdue",1,0)</f>
        <v>1</v>
      </c>
      <c r="Q48" s="11"/>
      <c r="R48" s="4" t="s">
        <v>57</v>
      </c>
      <c r="S48" s="4" t="s">
        <v>85</v>
      </c>
    </row>
    <row r="49" spans="1:19" x14ac:dyDescent="0.3">
      <c r="A49" s="4" t="s">
        <v>692</v>
      </c>
      <c r="B49" s="4" t="s">
        <v>153</v>
      </c>
      <c r="C49" s="26" t="s">
        <v>693</v>
      </c>
      <c r="D49" s="14">
        <v>45550</v>
      </c>
      <c r="E49" s="14">
        <v>45612</v>
      </c>
      <c r="F49" s="17" t="str">
        <f t="shared" si="0"/>
        <v>Sep-2024</v>
      </c>
      <c r="G49" s="2">
        <v>34465.279999999999</v>
      </c>
      <c r="H49" s="26" t="s">
        <v>72</v>
      </c>
      <c r="I49" s="32">
        <v>0</v>
      </c>
      <c r="J49" s="2">
        <v>0</v>
      </c>
      <c r="K49" s="4" t="s">
        <v>230</v>
      </c>
      <c r="L49" s="4" t="s">
        <v>60</v>
      </c>
      <c r="M49" s="4" t="s">
        <v>19</v>
      </c>
      <c r="N49" s="5" t="s">
        <v>942</v>
      </c>
      <c r="O49" s="4" t="s">
        <v>939</v>
      </c>
      <c r="P49" s="6">
        <f>IF(Table3[[#This Row],[Payment Status]]="Overdue",1,0)</f>
        <v>0</v>
      </c>
      <c r="Q49" s="11"/>
      <c r="R49" s="4" t="s">
        <v>184</v>
      </c>
      <c r="S49" s="4" t="s">
        <v>41</v>
      </c>
    </row>
    <row r="50" spans="1:19" x14ac:dyDescent="0.3">
      <c r="A50" s="4" t="s">
        <v>722</v>
      </c>
      <c r="B50" s="4" t="s">
        <v>923</v>
      </c>
      <c r="C50" s="26" t="s">
        <v>723</v>
      </c>
      <c r="D50" s="14">
        <v>45584</v>
      </c>
      <c r="E50" s="14">
        <v>45814</v>
      </c>
      <c r="F50" s="17" t="str">
        <f t="shared" si="0"/>
        <v>Oct-2024</v>
      </c>
      <c r="G50" s="2">
        <v>29940.81</v>
      </c>
      <c r="H50" s="26" t="s">
        <v>941</v>
      </c>
      <c r="I50" s="32">
        <v>5</v>
      </c>
      <c r="J50" s="2">
        <v>1497.04</v>
      </c>
      <c r="K50" s="4" t="s">
        <v>97</v>
      </c>
      <c r="L50" s="4" t="s">
        <v>70</v>
      </c>
      <c r="M50" s="4" t="s">
        <v>39</v>
      </c>
      <c r="N50" s="4" t="s">
        <v>117</v>
      </c>
      <c r="O50" s="4" t="s">
        <v>25</v>
      </c>
      <c r="P50" s="6">
        <f>IF(Table3[[#This Row],[Payment Status]]="Overdue",1,0)</f>
        <v>0</v>
      </c>
      <c r="Q50" s="11"/>
      <c r="R50" s="4" t="s">
        <v>40</v>
      </c>
      <c r="S50" s="5" t="s">
        <v>941</v>
      </c>
    </row>
    <row r="51" spans="1:19" x14ac:dyDescent="0.3">
      <c r="A51" s="4" t="s">
        <v>376</v>
      </c>
      <c r="B51" s="4" t="s">
        <v>153</v>
      </c>
      <c r="C51" s="26" t="s">
        <v>377</v>
      </c>
      <c r="D51" s="14">
        <v>45454</v>
      </c>
      <c r="E51" s="14">
        <v>45516</v>
      </c>
      <c r="F51" s="17" t="str">
        <f t="shared" si="0"/>
        <v>Jun-2024</v>
      </c>
      <c r="G51" s="2">
        <v>4916.2</v>
      </c>
      <c r="H51" s="26" t="s">
        <v>941</v>
      </c>
      <c r="I51" s="32">
        <v>0</v>
      </c>
      <c r="J51" s="2">
        <v>0</v>
      </c>
      <c r="K51" s="4" t="s">
        <v>97</v>
      </c>
      <c r="L51" s="4" t="s">
        <v>45</v>
      </c>
      <c r="M51" s="4" t="s">
        <v>39</v>
      </c>
      <c r="N51" s="4" t="s">
        <v>80</v>
      </c>
      <c r="O51" s="4" t="s">
        <v>25</v>
      </c>
      <c r="P51" s="6">
        <f>IF(Table3[[#This Row],[Payment Status]]="Overdue",1,0)</f>
        <v>0</v>
      </c>
      <c r="Q51" s="11"/>
      <c r="R51" s="4" t="s">
        <v>57</v>
      </c>
      <c r="S51" s="4" t="s">
        <v>67</v>
      </c>
    </row>
    <row r="52" spans="1:19" x14ac:dyDescent="0.3">
      <c r="A52" s="4" t="s">
        <v>210</v>
      </c>
      <c r="B52" s="4" t="s">
        <v>153</v>
      </c>
      <c r="C52" s="26" t="s">
        <v>211</v>
      </c>
      <c r="D52" s="14">
        <v>45935</v>
      </c>
      <c r="F52" s="17" t="str">
        <f t="shared" si="0"/>
        <v>Oct-2025</v>
      </c>
      <c r="G52" s="2">
        <v>42960.98</v>
      </c>
      <c r="H52" s="26" t="s">
        <v>941</v>
      </c>
      <c r="I52" s="32">
        <v>18</v>
      </c>
      <c r="J52" s="2">
        <v>7732.98</v>
      </c>
      <c r="K52" s="4" t="s">
        <v>165</v>
      </c>
      <c r="L52" s="4" t="s">
        <v>940</v>
      </c>
      <c r="M52" s="4" t="s">
        <v>941</v>
      </c>
      <c r="N52" s="4" t="s">
        <v>80</v>
      </c>
      <c r="O52" s="6" t="s">
        <v>126</v>
      </c>
      <c r="P52" s="6">
        <f>IF(Table3[[#This Row],[Payment Status]]="Overdue",1,0)</f>
        <v>0</v>
      </c>
      <c r="Q52" s="10">
        <v>45697</v>
      </c>
      <c r="R52" s="4" t="s">
        <v>62</v>
      </c>
      <c r="S52" s="4" t="s">
        <v>41</v>
      </c>
    </row>
    <row r="53" spans="1:19" x14ac:dyDescent="0.3">
      <c r="A53" s="4" t="s">
        <v>482</v>
      </c>
      <c r="B53" s="4" t="s">
        <v>128</v>
      </c>
      <c r="C53" s="26" t="s">
        <v>483</v>
      </c>
      <c r="D53" s="14">
        <v>45737</v>
      </c>
      <c r="F53" s="17" t="str">
        <f t="shared" si="0"/>
        <v>Mar-2025</v>
      </c>
      <c r="G53" s="2">
        <v>11091.55</v>
      </c>
      <c r="H53" s="26" t="s">
        <v>941</v>
      </c>
      <c r="I53" s="32">
        <v>18</v>
      </c>
      <c r="J53" s="2">
        <v>1996.48</v>
      </c>
      <c r="K53" s="4" t="s">
        <v>44</v>
      </c>
      <c r="L53" s="4" t="s">
        <v>60</v>
      </c>
      <c r="M53" s="4" t="s">
        <v>39</v>
      </c>
      <c r="N53" s="4" t="s">
        <v>100</v>
      </c>
      <c r="O53" s="4" t="s">
        <v>92</v>
      </c>
      <c r="P53" s="6">
        <f>IF(Table3[[#This Row],[Payment Status]]="Overdue",1,0)</f>
        <v>1</v>
      </c>
      <c r="Q53" s="11"/>
      <c r="R53" s="4" t="s">
        <v>20</v>
      </c>
      <c r="S53" s="4" t="s">
        <v>88</v>
      </c>
    </row>
    <row r="54" spans="1:19" x14ac:dyDescent="0.3">
      <c r="A54" s="4" t="s">
        <v>794</v>
      </c>
      <c r="B54" s="4" t="s">
        <v>311</v>
      </c>
      <c r="C54" s="26" t="s">
        <v>795</v>
      </c>
      <c r="D54" s="14">
        <v>45882</v>
      </c>
      <c r="F54" s="17" t="str">
        <f t="shared" si="0"/>
        <v>Aug-2025</v>
      </c>
      <c r="G54" s="2">
        <v>71009.919999999998</v>
      </c>
      <c r="H54" s="26" t="s">
        <v>941</v>
      </c>
      <c r="I54" s="32">
        <v>28</v>
      </c>
      <c r="J54" s="2">
        <v>19882.78</v>
      </c>
      <c r="K54" s="4" t="s">
        <v>33</v>
      </c>
      <c r="L54" s="4" t="s">
        <v>70</v>
      </c>
      <c r="M54" s="4" t="s">
        <v>19</v>
      </c>
      <c r="N54" s="5" t="s">
        <v>942</v>
      </c>
      <c r="O54" s="4" t="s">
        <v>92</v>
      </c>
      <c r="P54" s="6">
        <f>IF(Table3[[#This Row],[Payment Status]]="Overdue",1,0)</f>
        <v>1</v>
      </c>
      <c r="Q54" s="11"/>
      <c r="R54" s="4" t="s">
        <v>62</v>
      </c>
      <c r="S54" s="4" t="s">
        <v>63</v>
      </c>
    </row>
    <row r="55" spans="1:19" x14ac:dyDescent="0.3">
      <c r="A55" s="4" t="s">
        <v>120</v>
      </c>
      <c r="B55" s="4" t="s">
        <v>121</v>
      </c>
      <c r="C55" s="26" t="s">
        <v>122</v>
      </c>
      <c r="D55" s="14">
        <v>45490</v>
      </c>
      <c r="E55" s="14">
        <v>45527</v>
      </c>
      <c r="F55" s="17" t="str">
        <f t="shared" si="0"/>
        <v>Jul-2024</v>
      </c>
      <c r="G55" s="2">
        <v>83679.72</v>
      </c>
      <c r="H55" s="26" t="s">
        <v>941</v>
      </c>
      <c r="I55" s="32">
        <v>18</v>
      </c>
      <c r="J55" s="2">
        <v>15062.35</v>
      </c>
      <c r="K55" s="4" t="s">
        <v>66</v>
      </c>
      <c r="L55" s="4" t="s">
        <v>24</v>
      </c>
      <c r="M55" s="4" t="s">
        <v>55</v>
      </c>
      <c r="N55" s="5" t="s">
        <v>942</v>
      </c>
      <c r="O55" s="4" t="s">
        <v>111</v>
      </c>
      <c r="P55" s="6">
        <f>IF(Table3[[#This Row],[Payment Status]]="Overdue",1,0)</f>
        <v>0</v>
      </c>
      <c r="Q55" s="11"/>
      <c r="R55" s="4" t="s">
        <v>20</v>
      </c>
      <c r="S55" s="4" t="s">
        <v>63</v>
      </c>
    </row>
    <row r="56" spans="1:19" x14ac:dyDescent="0.3">
      <c r="A56" s="4" t="s">
        <v>368</v>
      </c>
      <c r="B56" s="4" t="s">
        <v>22</v>
      </c>
      <c r="C56" s="26" t="s">
        <v>369</v>
      </c>
      <c r="D56" s="14">
        <v>45923</v>
      </c>
      <c r="F56" s="17" t="str">
        <f t="shared" si="0"/>
        <v>Sep-2025</v>
      </c>
      <c r="G56" s="2">
        <v>46716.04</v>
      </c>
      <c r="H56" s="26" t="s">
        <v>941</v>
      </c>
      <c r="I56" s="32">
        <v>0</v>
      </c>
      <c r="J56" s="2">
        <v>0</v>
      </c>
      <c r="K56" s="4" t="s">
        <v>33</v>
      </c>
      <c r="L56" s="4" t="s">
        <v>66</v>
      </c>
      <c r="M56" s="4" t="s">
        <v>19</v>
      </c>
      <c r="N56" s="5" t="s">
        <v>942</v>
      </c>
      <c r="O56" s="4" t="s">
        <v>111</v>
      </c>
      <c r="P56" s="6">
        <f>IF(Table3[[#This Row],[Payment Status]]="Overdue",1,0)</f>
        <v>0</v>
      </c>
      <c r="Q56" s="11"/>
      <c r="R56" s="4" t="s">
        <v>40</v>
      </c>
      <c r="S56" s="4" t="s">
        <v>29</v>
      </c>
    </row>
    <row r="57" spans="1:19" x14ac:dyDescent="0.3">
      <c r="A57" s="4" t="s">
        <v>601</v>
      </c>
      <c r="B57" s="4" t="s">
        <v>137</v>
      </c>
      <c r="C57" s="27"/>
      <c r="D57" s="14">
        <v>45971</v>
      </c>
      <c r="F57" s="17" t="str">
        <f t="shared" si="0"/>
        <v>Nov-2025</v>
      </c>
      <c r="G57" s="2">
        <v>83372.509999999995</v>
      </c>
      <c r="H57" s="26" t="s">
        <v>941</v>
      </c>
      <c r="I57" s="32">
        <v>0</v>
      </c>
      <c r="J57" s="2">
        <v>0</v>
      </c>
      <c r="K57" s="4" t="s">
        <v>230</v>
      </c>
      <c r="L57" s="4" t="s">
        <v>79</v>
      </c>
      <c r="M57" s="4" t="s">
        <v>39</v>
      </c>
      <c r="N57" s="4" t="s">
        <v>80</v>
      </c>
      <c r="O57" s="4" t="s">
        <v>111</v>
      </c>
      <c r="P57" s="6">
        <f>IF(Table3[[#This Row],[Payment Status]]="Overdue",1,0)</f>
        <v>0</v>
      </c>
      <c r="Q57" s="11"/>
      <c r="R57" s="4" t="s">
        <v>62</v>
      </c>
      <c r="S57" s="4" t="s">
        <v>63</v>
      </c>
    </row>
    <row r="58" spans="1:19" x14ac:dyDescent="0.3">
      <c r="A58" s="4" t="s">
        <v>681</v>
      </c>
      <c r="B58" s="4" t="s">
        <v>50</v>
      </c>
      <c r="C58" s="26" t="s">
        <v>682</v>
      </c>
      <c r="D58" s="14">
        <v>45648</v>
      </c>
      <c r="E58" s="14">
        <v>45742</v>
      </c>
      <c r="F58" s="17" t="str">
        <f t="shared" si="0"/>
        <v>Dec-2024</v>
      </c>
      <c r="G58" s="2">
        <v>28917.26</v>
      </c>
      <c r="H58" s="26" t="s">
        <v>941</v>
      </c>
      <c r="I58" s="32">
        <v>12</v>
      </c>
      <c r="J58" s="2">
        <v>3470.07</v>
      </c>
      <c r="K58" s="4" t="s">
        <v>53</v>
      </c>
      <c r="L58" s="4" t="s">
        <v>54</v>
      </c>
      <c r="M58" s="4" t="s">
        <v>55</v>
      </c>
      <c r="N58" s="4" t="s">
        <v>100</v>
      </c>
      <c r="O58" s="4" t="s">
        <v>126</v>
      </c>
      <c r="P58" s="6">
        <f>IF(Table3[[#This Row],[Payment Status]]="Overdue",1,0)</f>
        <v>0</v>
      </c>
      <c r="Q58" s="10">
        <v>45801</v>
      </c>
      <c r="R58" s="4" t="s">
        <v>20</v>
      </c>
      <c r="S58" s="4" t="s">
        <v>88</v>
      </c>
    </row>
    <row r="59" spans="1:19" x14ac:dyDescent="0.3">
      <c r="A59" s="4" t="s">
        <v>318</v>
      </c>
      <c r="B59" s="4" t="s">
        <v>197</v>
      </c>
      <c r="C59" s="27"/>
      <c r="D59" s="14">
        <v>45622</v>
      </c>
      <c r="E59" s="14">
        <v>45707</v>
      </c>
      <c r="F59" s="17" t="str">
        <f t="shared" si="0"/>
        <v>Nov-2024</v>
      </c>
      <c r="G59" s="2">
        <v>80994.179999999993</v>
      </c>
      <c r="H59" s="26" t="s">
        <v>941</v>
      </c>
      <c r="I59" s="32">
        <v>28</v>
      </c>
      <c r="J59" s="2">
        <v>22678.37</v>
      </c>
      <c r="K59" s="4" t="s">
        <v>165</v>
      </c>
      <c r="L59" s="4" t="s">
        <v>45</v>
      </c>
      <c r="M59" s="4" t="s">
        <v>61</v>
      </c>
      <c r="N59" s="4" t="s">
        <v>117</v>
      </c>
      <c r="O59" s="4" t="s">
        <v>126</v>
      </c>
      <c r="P59" s="6">
        <f>IF(Table3[[#This Row],[Payment Status]]="Overdue",1,0)</f>
        <v>0</v>
      </c>
      <c r="Q59" s="10">
        <v>45721</v>
      </c>
      <c r="R59" s="4" t="s">
        <v>941</v>
      </c>
      <c r="S59" s="4" t="s">
        <v>41</v>
      </c>
    </row>
    <row r="60" spans="1:19" x14ac:dyDescent="0.3">
      <c r="A60" s="4" t="s">
        <v>203</v>
      </c>
      <c r="B60" s="4" t="s">
        <v>630</v>
      </c>
      <c r="C60" s="26" t="s">
        <v>204</v>
      </c>
      <c r="D60" s="14">
        <v>45822</v>
      </c>
      <c r="E60" s="14">
        <v>45868</v>
      </c>
      <c r="F60" s="17" t="str">
        <f t="shared" si="0"/>
        <v>Jun-2025</v>
      </c>
      <c r="G60" s="2">
        <v>10142.02</v>
      </c>
      <c r="H60" s="26" t="s">
        <v>941</v>
      </c>
      <c r="I60" s="32">
        <v>5</v>
      </c>
      <c r="J60" s="2">
        <v>507.1</v>
      </c>
      <c r="K60" s="4" t="s">
        <v>97</v>
      </c>
      <c r="L60" s="4" t="s">
        <v>66</v>
      </c>
      <c r="M60" s="4" t="s">
        <v>39</v>
      </c>
      <c r="N60" s="4" t="s">
        <v>100</v>
      </c>
      <c r="O60" s="4" t="s">
        <v>126</v>
      </c>
      <c r="P60" s="6">
        <f>IF(Table3[[#This Row],[Payment Status]]="Overdue",1,0)</f>
        <v>0</v>
      </c>
      <c r="Q60" s="10">
        <v>45864</v>
      </c>
      <c r="R60" s="4" t="s">
        <v>941</v>
      </c>
      <c r="S60" s="4" t="s">
        <v>41</v>
      </c>
    </row>
    <row r="61" spans="1:19" x14ac:dyDescent="0.3">
      <c r="A61" s="4" t="s">
        <v>392</v>
      </c>
      <c r="B61" s="4" t="s">
        <v>31</v>
      </c>
      <c r="C61" s="26" t="s">
        <v>393</v>
      </c>
      <c r="D61" s="14">
        <v>45724</v>
      </c>
      <c r="F61" s="17" t="str">
        <f t="shared" si="0"/>
        <v>Mar-2025</v>
      </c>
      <c r="G61" s="2">
        <v>67213.149999999994</v>
      </c>
      <c r="H61" s="26" t="s">
        <v>941</v>
      </c>
      <c r="I61" s="32">
        <v>12</v>
      </c>
      <c r="J61" s="2">
        <v>8065.58</v>
      </c>
      <c r="K61" s="5" t="s">
        <v>66</v>
      </c>
      <c r="L61" s="4" t="s">
        <v>34</v>
      </c>
      <c r="M61" s="4" t="s">
        <v>39</v>
      </c>
      <c r="N61" s="5" t="s">
        <v>942</v>
      </c>
      <c r="O61" s="4" t="s">
        <v>92</v>
      </c>
      <c r="P61" s="6">
        <f>IF(Table3[[#This Row],[Payment Status]]="Overdue",1,0)</f>
        <v>1</v>
      </c>
      <c r="Q61" s="11"/>
      <c r="R61" s="4" t="s">
        <v>184</v>
      </c>
      <c r="S61" s="4" t="s">
        <v>63</v>
      </c>
    </row>
    <row r="62" spans="1:19" x14ac:dyDescent="0.3">
      <c r="A62" s="4" t="s">
        <v>706</v>
      </c>
      <c r="B62" s="4" t="s">
        <v>137</v>
      </c>
      <c r="C62" s="26" t="s">
        <v>707</v>
      </c>
      <c r="D62" s="14">
        <v>45893</v>
      </c>
      <c r="E62" s="24">
        <v>45923</v>
      </c>
      <c r="F62" s="17" t="str">
        <f t="shared" si="0"/>
        <v>Aug-2025</v>
      </c>
      <c r="G62" s="2">
        <v>36857.660000000003</v>
      </c>
      <c r="H62" s="26" t="s">
        <v>941</v>
      </c>
      <c r="I62" s="32">
        <v>18</v>
      </c>
      <c r="J62" s="2">
        <v>6634.38</v>
      </c>
      <c r="K62" s="4" t="s">
        <v>44</v>
      </c>
      <c r="L62" s="4" t="s">
        <v>79</v>
      </c>
      <c r="M62" s="4" t="s">
        <v>25</v>
      </c>
      <c r="N62" s="5" t="s">
        <v>942</v>
      </c>
      <c r="O62" s="4" t="s">
        <v>939</v>
      </c>
      <c r="P62" s="6">
        <f>IF(Table3[[#This Row],[Payment Status]]="Overdue",1,0)</f>
        <v>0</v>
      </c>
      <c r="Q62" s="11"/>
      <c r="R62" s="8" t="s">
        <v>941</v>
      </c>
      <c r="S62" s="4" t="s">
        <v>88</v>
      </c>
    </row>
    <row r="63" spans="1:19" x14ac:dyDescent="0.3">
      <c r="A63" s="4" t="s">
        <v>712</v>
      </c>
      <c r="B63" s="4" t="s">
        <v>128</v>
      </c>
      <c r="C63" s="26" t="s">
        <v>713</v>
      </c>
      <c r="D63" s="14">
        <v>45906</v>
      </c>
      <c r="E63" s="14">
        <v>45970</v>
      </c>
      <c r="F63" s="17" t="str">
        <f t="shared" si="0"/>
        <v>Sep-2025</v>
      </c>
      <c r="G63" s="2">
        <v>3645.34</v>
      </c>
      <c r="H63" s="26" t="s">
        <v>941</v>
      </c>
      <c r="I63" s="32">
        <v>12</v>
      </c>
      <c r="J63" s="2">
        <v>437.44</v>
      </c>
      <c r="K63" s="4" t="s">
        <v>44</v>
      </c>
      <c r="L63" s="4" t="s">
        <v>79</v>
      </c>
      <c r="M63" s="4" t="s">
        <v>39</v>
      </c>
      <c r="N63" s="4" t="s">
        <v>91</v>
      </c>
      <c r="O63" s="4" t="s">
        <v>939</v>
      </c>
      <c r="P63" s="6">
        <f>IF(Table3[[#This Row],[Payment Status]]="Overdue",1,0)</f>
        <v>0</v>
      </c>
      <c r="Q63" s="11"/>
      <c r="R63" s="8" t="s">
        <v>941</v>
      </c>
      <c r="S63" s="4" t="s">
        <v>88</v>
      </c>
    </row>
    <row r="64" spans="1:19" x14ac:dyDescent="0.3">
      <c r="A64" s="4" t="s">
        <v>749</v>
      </c>
      <c r="B64" s="4" t="s">
        <v>128</v>
      </c>
      <c r="C64" s="26" t="s">
        <v>750</v>
      </c>
      <c r="D64" s="14">
        <v>45753</v>
      </c>
      <c r="F64" s="17" t="str">
        <f t="shared" si="0"/>
        <v>Apr-2025</v>
      </c>
      <c r="G64" s="2">
        <v>82910.490000000005</v>
      </c>
      <c r="H64" s="26" t="s">
        <v>941</v>
      </c>
      <c r="I64" s="32">
        <v>18</v>
      </c>
      <c r="J64" s="2">
        <v>14923.89</v>
      </c>
      <c r="K64" s="4" t="s">
        <v>97</v>
      </c>
      <c r="L64" s="4" t="s">
        <v>24</v>
      </c>
      <c r="M64" s="4" t="s">
        <v>55</v>
      </c>
      <c r="N64" s="4" t="s">
        <v>26</v>
      </c>
      <c r="O64" s="4" t="s">
        <v>25</v>
      </c>
      <c r="P64" s="6">
        <f>IF(Table3[[#This Row],[Payment Status]]="Overdue",1,0)</f>
        <v>0</v>
      </c>
      <c r="Q64" s="11"/>
      <c r="R64" s="4" t="s">
        <v>184</v>
      </c>
      <c r="S64" s="4" t="s">
        <v>63</v>
      </c>
    </row>
    <row r="65" spans="1:19" x14ac:dyDescent="0.3">
      <c r="A65" s="4" t="s">
        <v>450</v>
      </c>
      <c r="B65" s="4" t="s">
        <v>153</v>
      </c>
      <c r="C65" s="26" t="s">
        <v>451</v>
      </c>
      <c r="D65" s="14">
        <v>45827</v>
      </c>
      <c r="F65" s="17" t="str">
        <f t="shared" si="0"/>
        <v>Jun-2025</v>
      </c>
      <c r="G65" s="2">
        <v>80353</v>
      </c>
      <c r="H65" s="26" t="s">
        <v>941</v>
      </c>
      <c r="I65" s="32">
        <v>5</v>
      </c>
      <c r="J65" s="2">
        <v>4017.65</v>
      </c>
      <c r="K65" s="4" t="s">
        <v>73</v>
      </c>
      <c r="L65" s="4" t="s">
        <v>79</v>
      </c>
      <c r="M65" s="4" t="s">
        <v>19</v>
      </c>
      <c r="N65" s="4" t="s">
        <v>35</v>
      </c>
      <c r="O65" s="4" t="s">
        <v>92</v>
      </c>
      <c r="P65" s="6">
        <f>IF(Table3[[#This Row],[Payment Status]]="Overdue",1,0)</f>
        <v>1</v>
      </c>
      <c r="Q65" s="11"/>
      <c r="R65" s="4" t="s">
        <v>28</v>
      </c>
      <c r="S65" s="4" t="s">
        <v>41</v>
      </c>
    </row>
    <row r="66" spans="1:19" x14ac:dyDescent="0.3">
      <c r="A66" s="4" t="s">
        <v>786</v>
      </c>
      <c r="B66" s="4" t="s">
        <v>22</v>
      </c>
      <c r="C66" s="26" t="s">
        <v>787</v>
      </c>
      <c r="D66" s="14">
        <v>45604</v>
      </c>
      <c r="E66" s="14">
        <v>45808</v>
      </c>
      <c r="F66" s="17" t="str">
        <f t="shared" ref="F66:F129" si="1">TEXT(D66,"mmm-yyyy")</f>
        <v>Nov-2024</v>
      </c>
      <c r="G66" s="2">
        <v>23884.3</v>
      </c>
      <c r="H66" s="26" t="s">
        <v>941</v>
      </c>
      <c r="I66" s="32">
        <v>0</v>
      </c>
      <c r="J66" s="2">
        <v>0</v>
      </c>
      <c r="K66" s="4" t="s">
        <v>230</v>
      </c>
      <c r="L66" s="4" t="s">
        <v>70</v>
      </c>
      <c r="M66" s="4" t="s">
        <v>61</v>
      </c>
      <c r="N66" s="5" t="s">
        <v>942</v>
      </c>
      <c r="O66" s="4" t="s">
        <v>111</v>
      </c>
      <c r="P66" s="6">
        <f>IF(Table3[[#This Row],[Payment Status]]="Overdue",1,0)</f>
        <v>0</v>
      </c>
      <c r="R66" s="4" t="s">
        <v>184</v>
      </c>
      <c r="S66" s="4" t="s">
        <v>29</v>
      </c>
    </row>
    <row r="67" spans="1:19" x14ac:dyDescent="0.3">
      <c r="A67" s="4" t="s">
        <v>208</v>
      </c>
      <c r="B67" s="4" t="s">
        <v>47</v>
      </c>
      <c r="C67" s="26" t="s">
        <v>209</v>
      </c>
      <c r="D67" s="14">
        <v>45694</v>
      </c>
      <c r="E67" s="14">
        <v>45914</v>
      </c>
      <c r="F67" s="17" t="str">
        <f t="shared" si="1"/>
        <v>Feb-2025</v>
      </c>
      <c r="G67" s="2">
        <v>50527.54</v>
      </c>
      <c r="H67" s="26" t="s">
        <v>941</v>
      </c>
      <c r="I67" s="32">
        <v>18</v>
      </c>
      <c r="J67" s="2">
        <v>9094.9599999999991</v>
      </c>
      <c r="K67" s="4" t="s">
        <v>165</v>
      </c>
      <c r="L67" s="4" t="s">
        <v>45</v>
      </c>
      <c r="M67" s="4" t="s">
        <v>941</v>
      </c>
      <c r="N67" s="4" t="s">
        <v>117</v>
      </c>
      <c r="O67" s="4" t="s">
        <v>126</v>
      </c>
      <c r="P67" s="6">
        <f>IF(Table3[[#This Row],[Payment Status]]="Overdue",1,0)</f>
        <v>0</v>
      </c>
      <c r="Q67" s="10">
        <v>45728</v>
      </c>
      <c r="R67" s="4" t="s">
        <v>40</v>
      </c>
      <c r="S67" s="4" t="s">
        <v>88</v>
      </c>
    </row>
    <row r="68" spans="1:19" x14ac:dyDescent="0.3">
      <c r="A68" s="4" t="s">
        <v>364</v>
      </c>
      <c r="B68" s="4" t="s">
        <v>31</v>
      </c>
      <c r="C68" s="26" t="s">
        <v>365</v>
      </c>
      <c r="D68" s="14">
        <v>45767</v>
      </c>
      <c r="E68" s="14">
        <v>45908</v>
      </c>
      <c r="F68" s="17" t="str">
        <f t="shared" si="1"/>
        <v>Apr-2025</v>
      </c>
      <c r="G68" s="2">
        <v>16338.05</v>
      </c>
      <c r="H68" s="26" t="s">
        <v>941</v>
      </c>
      <c r="I68" s="32">
        <v>18</v>
      </c>
      <c r="J68" s="2">
        <v>2940.85</v>
      </c>
      <c r="K68" s="4" t="s">
        <v>106</v>
      </c>
      <c r="L68" s="4" t="s">
        <v>70</v>
      </c>
      <c r="M68" s="4" t="s">
        <v>39</v>
      </c>
      <c r="N68" s="4" t="s">
        <v>117</v>
      </c>
      <c r="O68" s="4" t="s">
        <v>92</v>
      </c>
      <c r="P68" s="6">
        <f>IF(Table3[[#This Row],[Payment Status]]="Overdue",1,0)</f>
        <v>1</v>
      </c>
      <c r="Q68" s="11"/>
      <c r="R68" s="4" t="s">
        <v>941</v>
      </c>
      <c r="S68" s="4" t="s">
        <v>85</v>
      </c>
    </row>
    <row r="69" spans="1:19" x14ac:dyDescent="0.3">
      <c r="A69" s="4" t="s">
        <v>426</v>
      </c>
      <c r="B69" s="4" t="s">
        <v>141</v>
      </c>
      <c r="C69" s="26" t="s">
        <v>427</v>
      </c>
      <c r="D69" s="14">
        <v>45650</v>
      </c>
      <c r="E69" s="14">
        <v>45935</v>
      </c>
      <c r="F69" s="17" t="str">
        <f t="shared" si="1"/>
        <v>Dec-2024</v>
      </c>
      <c r="G69" s="2">
        <v>23823.69</v>
      </c>
      <c r="H69" s="26" t="s">
        <v>941</v>
      </c>
      <c r="I69" s="32">
        <v>12</v>
      </c>
      <c r="J69" s="2">
        <v>2858.84</v>
      </c>
      <c r="K69" s="4" t="s">
        <v>44</v>
      </c>
      <c r="L69" s="4" t="s">
        <v>79</v>
      </c>
      <c r="M69" s="4" t="s">
        <v>19</v>
      </c>
      <c r="N69" s="5" t="s">
        <v>942</v>
      </c>
      <c r="O69" s="4" t="s">
        <v>25</v>
      </c>
      <c r="P69" s="6">
        <f>IF(Table3[[#This Row],[Payment Status]]="Overdue",1,0)</f>
        <v>0</v>
      </c>
      <c r="Q69" s="11"/>
      <c r="R69" s="4" t="s">
        <v>941</v>
      </c>
      <c r="S69" s="4" t="s">
        <v>41</v>
      </c>
    </row>
    <row r="70" spans="1:19" x14ac:dyDescent="0.3">
      <c r="A70" s="4" t="s">
        <v>753</v>
      </c>
      <c r="B70" s="4" t="s">
        <v>137</v>
      </c>
      <c r="C70" s="26" t="s">
        <v>754</v>
      </c>
      <c r="D70" s="14">
        <v>45552</v>
      </c>
      <c r="E70" s="22"/>
      <c r="F70" s="18" t="str">
        <f t="shared" si="1"/>
        <v>Sep-2024</v>
      </c>
      <c r="G70" s="2">
        <v>40661.51</v>
      </c>
      <c r="H70" s="26" t="s">
        <v>941</v>
      </c>
      <c r="I70" s="32">
        <v>12</v>
      </c>
      <c r="J70" s="2">
        <v>4879.38</v>
      </c>
      <c r="K70" s="4" t="s">
        <v>44</v>
      </c>
      <c r="L70" s="4" t="s">
        <v>24</v>
      </c>
      <c r="M70" s="4" t="s">
        <v>55</v>
      </c>
      <c r="N70" s="4" t="s">
        <v>91</v>
      </c>
      <c r="O70" s="4" t="s">
        <v>126</v>
      </c>
      <c r="P70" s="6">
        <f>IF(Table3[[#This Row],[Payment Status]]="Overdue",1,0)</f>
        <v>0</v>
      </c>
      <c r="Q70" s="10">
        <v>45750</v>
      </c>
      <c r="R70" s="4" t="s">
        <v>20</v>
      </c>
      <c r="S70" s="4" t="s">
        <v>67</v>
      </c>
    </row>
    <row r="71" spans="1:19" x14ac:dyDescent="0.3">
      <c r="A71" s="4" t="s">
        <v>625</v>
      </c>
      <c r="B71" s="4" t="s">
        <v>137</v>
      </c>
      <c r="C71" s="26" t="s">
        <v>626</v>
      </c>
      <c r="D71" s="14">
        <v>45753</v>
      </c>
      <c r="E71" s="14">
        <v>45797</v>
      </c>
      <c r="F71" s="17" t="str">
        <f t="shared" si="1"/>
        <v>Apr-2025</v>
      </c>
      <c r="G71" s="2">
        <v>72362.42</v>
      </c>
      <c r="H71" s="26" t="s">
        <v>941</v>
      </c>
      <c r="I71" s="32">
        <v>12</v>
      </c>
      <c r="J71" s="2">
        <v>8683.49</v>
      </c>
      <c r="K71" s="4" t="s">
        <v>230</v>
      </c>
      <c r="L71" s="4" t="s">
        <v>79</v>
      </c>
      <c r="M71" s="4" t="s">
        <v>19</v>
      </c>
      <c r="N71" s="4" t="s">
        <v>91</v>
      </c>
      <c r="O71" s="4" t="s">
        <v>25</v>
      </c>
      <c r="P71" s="6">
        <f>IF(Table3[[#This Row],[Payment Status]]="Overdue",1,0)</f>
        <v>0</v>
      </c>
      <c r="Q71" s="11"/>
      <c r="R71" s="4" t="s">
        <v>941</v>
      </c>
      <c r="S71" s="4" t="s">
        <v>41</v>
      </c>
    </row>
    <row r="72" spans="1:19" x14ac:dyDescent="0.3">
      <c r="A72" s="4" t="s">
        <v>641</v>
      </c>
      <c r="B72" s="4" t="s">
        <v>31</v>
      </c>
      <c r="C72" s="26" t="s">
        <v>642</v>
      </c>
      <c r="D72" s="14">
        <v>45559</v>
      </c>
      <c r="E72" s="14">
        <v>45649</v>
      </c>
      <c r="F72" s="17" t="str">
        <f t="shared" si="1"/>
        <v>Sep-2024</v>
      </c>
      <c r="G72" s="2">
        <v>64106.25</v>
      </c>
      <c r="H72" s="26" t="s">
        <v>941</v>
      </c>
      <c r="I72" s="32">
        <v>0</v>
      </c>
      <c r="J72" s="2">
        <v>0</v>
      </c>
      <c r="K72" s="5" t="s">
        <v>66</v>
      </c>
      <c r="L72" s="4" t="s">
        <v>70</v>
      </c>
      <c r="M72" s="4" t="s">
        <v>941</v>
      </c>
      <c r="N72" s="4" t="s">
        <v>80</v>
      </c>
      <c r="O72" s="4" t="s">
        <v>111</v>
      </c>
      <c r="P72" s="6">
        <f>IF(Table3[[#This Row],[Payment Status]]="Overdue",1,0)</f>
        <v>0</v>
      </c>
      <c r="Q72" s="11"/>
      <c r="R72" s="4" t="s">
        <v>62</v>
      </c>
      <c r="S72" s="4" t="s">
        <v>88</v>
      </c>
    </row>
    <row r="73" spans="1:19" x14ac:dyDescent="0.3">
      <c r="A73" s="4" t="s">
        <v>572</v>
      </c>
      <c r="B73" s="4" t="s">
        <v>206</v>
      </c>
      <c r="C73" s="26" t="s">
        <v>573</v>
      </c>
      <c r="D73" s="14">
        <v>45494</v>
      </c>
      <c r="E73" s="14">
        <v>45854</v>
      </c>
      <c r="F73" s="17" t="str">
        <f t="shared" si="1"/>
        <v>Jul-2024</v>
      </c>
      <c r="G73" s="2">
        <v>68199.28</v>
      </c>
      <c r="H73" s="26" t="s">
        <v>941</v>
      </c>
      <c r="I73" s="32">
        <v>18</v>
      </c>
      <c r="J73" s="2">
        <v>12275.87</v>
      </c>
      <c r="K73" s="4" t="s">
        <v>97</v>
      </c>
      <c r="L73" s="4" t="s">
        <v>45</v>
      </c>
      <c r="M73" s="4" t="s">
        <v>19</v>
      </c>
      <c r="N73" s="4" t="s">
        <v>26</v>
      </c>
      <c r="O73" s="4" t="s">
        <v>111</v>
      </c>
      <c r="P73" s="6">
        <f>IF(Table3[[#This Row],[Payment Status]]="Overdue",1,0)</f>
        <v>0</v>
      </c>
      <c r="Q73" s="11"/>
      <c r="R73" s="4" t="s">
        <v>57</v>
      </c>
      <c r="S73" s="5" t="s">
        <v>941</v>
      </c>
    </row>
    <row r="74" spans="1:19" x14ac:dyDescent="0.3">
      <c r="A74" s="4" t="s">
        <v>185</v>
      </c>
      <c r="B74" s="4" t="s">
        <v>121</v>
      </c>
      <c r="C74" s="26" t="s">
        <v>186</v>
      </c>
      <c r="D74" s="14">
        <v>45814</v>
      </c>
      <c r="E74" s="14">
        <v>45871</v>
      </c>
      <c r="F74" s="17" t="str">
        <f t="shared" si="1"/>
        <v>Jun-2025</v>
      </c>
      <c r="G74" s="2">
        <v>38623.730000000003</v>
      </c>
      <c r="H74" s="26" t="s">
        <v>941</v>
      </c>
      <c r="I74" s="32">
        <v>0</v>
      </c>
      <c r="J74" s="2">
        <v>0</v>
      </c>
      <c r="K74" s="4" t="s">
        <v>106</v>
      </c>
      <c r="L74" s="4" t="s">
        <v>98</v>
      </c>
      <c r="M74" s="4" t="s">
        <v>19</v>
      </c>
      <c r="N74" s="4" t="s">
        <v>80</v>
      </c>
      <c r="O74" s="4" t="s">
        <v>92</v>
      </c>
      <c r="P74" s="6">
        <f>IF(Table3[[#This Row],[Payment Status]]="Overdue",1,0)</f>
        <v>1</v>
      </c>
      <c r="Q74" s="11"/>
      <c r="R74" s="4" t="s">
        <v>62</v>
      </c>
      <c r="S74" s="4" t="s">
        <v>85</v>
      </c>
    </row>
    <row r="75" spans="1:19" x14ac:dyDescent="0.3">
      <c r="A75" s="4" t="s">
        <v>802</v>
      </c>
      <c r="B75" s="4" t="s">
        <v>128</v>
      </c>
      <c r="C75" s="26" t="s">
        <v>803</v>
      </c>
      <c r="D75" s="14">
        <v>45389</v>
      </c>
      <c r="E75" s="14">
        <v>45811</v>
      </c>
      <c r="F75" s="17" t="str">
        <f t="shared" si="1"/>
        <v>Apr-2024</v>
      </c>
      <c r="G75" s="2">
        <v>38208.379999999997</v>
      </c>
      <c r="H75" s="26" t="s">
        <v>941</v>
      </c>
      <c r="I75" s="32">
        <v>0</v>
      </c>
      <c r="J75" s="2">
        <v>0</v>
      </c>
      <c r="K75" s="4" t="s">
        <v>97</v>
      </c>
      <c r="L75" s="4" t="s">
        <v>70</v>
      </c>
      <c r="M75" s="4" t="s">
        <v>39</v>
      </c>
      <c r="N75" s="4" t="s">
        <v>80</v>
      </c>
      <c r="O75" s="4" t="s">
        <v>126</v>
      </c>
      <c r="P75" s="6">
        <f>IF(Table3[[#This Row],[Payment Status]]="Overdue",1,0)</f>
        <v>0</v>
      </c>
      <c r="Q75" s="10">
        <v>45905</v>
      </c>
      <c r="R75" s="4" t="s">
        <v>36</v>
      </c>
      <c r="S75" s="4" t="s">
        <v>29</v>
      </c>
    </row>
    <row r="76" spans="1:19" x14ac:dyDescent="0.3">
      <c r="A76" s="4" t="s">
        <v>260</v>
      </c>
      <c r="B76" s="4" t="s">
        <v>77</v>
      </c>
      <c r="C76" s="27"/>
      <c r="D76" s="14">
        <v>45407</v>
      </c>
      <c r="E76" s="14">
        <v>45879</v>
      </c>
      <c r="F76" s="17" t="str">
        <f t="shared" si="1"/>
        <v>Apr-2024</v>
      </c>
      <c r="G76" s="2">
        <v>52326.23</v>
      </c>
      <c r="H76" s="26" t="s">
        <v>941</v>
      </c>
      <c r="I76" s="32">
        <v>5</v>
      </c>
      <c r="J76" s="2">
        <v>2616.31</v>
      </c>
      <c r="K76" s="4" t="s">
        <v>106</v>
      </c>
      <c r="L76" s="4" t="s">
        <v>98</v>
      </c>
      <c r="M76" s="4" t="s">
        <v>55</v>
      </c>
      <c r="N76" s="5" t="s">
        <v>942</v>
      </c>
      <c r="O76" s="4" t="s">
        <v>111</v>
      </c>
      <c r="P76" s="6">
        <f>IF(Table3[[#This Row],[Payment Status]]="Overdue",1,0)</f>
        <v>0</v>
      </c>
      <c r="Q76" s="11"/>
      <c r="R76" s="4" t="s">
        <v>36</v>
      </c>
      <c r="S76" s="4" t="s">
        <v>63</v>
      </c>
    </row>
    <row r="77" spans="1:19" x14ac:dyDescent="0.3">
      <c r="A77" s="4" t="s">
        <v>888</v>
      </c>
      <c r="B77" s="4" t="s">
        <v>163</v>
      </c>
      <c r="C77" s="26" t="s">
        <v>889</v>
      </c>
      <c r="D77" s="14">
        <v>45620</v>
      </c>
      <c r="E77" s="14">
        <v>45817</v>
      </c>
      <c r="F77" s="17" t="str">
        <f t="shared" si="1"/>
        <v>Nov-2024</v>
      </c>
      <c r="G77" s="2">
        <v>83786.27</v>
      </c>
      <c r="H77" s="26" t="s">
        <v>941</v>
      </c>
      <c r="I77" s="32">
        <v>12</v>
      </c>
      <c r="J77" s="2">
        <v>10054.35</v>
      </c>
      <c r="K77" s="4" t="s">
        <v>165</v>
      </c>
      <c r="L77" s="4" t="s">
        <v>54</v>
      </c>
      <c r="M77" s="4" t="s">
        <v>19</v>
      </c>
      <c r="N77" s="5" t="s">
        <v>942</v>
      </c>
      <c r="O77" s="4" t="s">
        <v>92</v>
      </c>
      <c r="P77" s="6">
        <f>IF(Table3[[#This Row],[Payment Status]]="Overdue",1,0)</f>
        <v>1</v>
      </c>
      <c r="Q77" s="11"/>
      <c r="R77" s="4" t="s">
        <v>941</v>
      </c>
      <c r="S77" s="4" t="s">
        <v>41</v>
      </c>
    </row>
    <row r="78" spans="1:19" x14ac:dyDescent="0.3">
      <c r="A78" s="4" t="s">
        <v>808</v>
      </c>
      <c r="B78" s="4" t="s">
        <v>121</v>
      </c>
      <c r="C78" s="26" t="s">
        <v>809</v>
      </c>
      <c r="D78" s="14">
        <v>45417</v>
      </c>
      <c r="E78" s="22"/>
      <c r="F78" s="18" t="str">
        <f t="shared" si="1"/>
        <v>May-2024</v>
      </c>
      <c r="G78" s="2">
        <v>68520.11</v>
      </c>
      <c r="H78" s="26" t="s">
        <v>941</v>
      </c>
      <c r="I78" s="32">
        <v>18</v>
      </c>
      <c r="J78" s="2">
        <v>12333.62</v>
      </c>
      <c r="K78" s="4" t="s">
        <v>97</v>
      </c>
      <c r="L78" s="4" t="s">
        <v>66</v>
      </c>
      <c r="M78" s="4" t="s">
        <v>19</v>
      </c>
      <c r="N78" s="4" t="s">
        <v>80</v>
      </c>
      <c r="O78" s="4" t="s">
        <v>111</v>
      </c>
      <c r="P78" s="6">
        <f>IF(Table3[[#This Row],[Payment Status]]="Overdue",1,0)</f>
        <v>0</v>
      </c>
      <c r="Q78" s="11"/>
      <c r="R78" s="4" t="s">
        <v>36</v>
      </c>
      <c r="S78" s="4" t="s">
        <v>88</v>
      </c>
    </row>
    <row r="79" spans="1:19" x14ac:dyDescent="0.3">
      <c r="A79" s="4" t="s">
        <v>627</v>
      </c>
      <c r="B79" s="4" t="s">
        <v>137</v>
      </c>
      <c r="C79" s="26" t="s">
        <v>628</v>
      </c>
      <c r="D79" s="14">
        <v>45782</v>
      </c>
      <c r="E79" s="14">
        <v>45879</v>
      </c>
      <c r="F79" s="17" t="str">
        <f t="shared" si="1"/>
        <v>May-2025</v>
      </c>
      <c r="G79" s="2">
        <v>25875.5</v>
      </c>
      <c r="H79" s="26" t="s">
        <v>941</v>
      </c>
      <c r="I79" s="32">
        <v>18</v>
      </c>
      <c r="J79" s="2">
        <v>4657.59</v>
      </c>
      <c r="K79" s="4" t="s">
        <v>143</v>
      </c>
      <c r="L79" s="4" t="s">
        <v>34</v>
      </c>
      <c r="M79" s="4" t="s">
        <v>39</v>
      </c>
      <c r="N79" s="4" t="s">
        <v>91</v>
      </c>
      <c r="O79" s="4" t="s">
        <v>92</v>
      </c>
      <c r="P79" s="6">
        <f>IF(Table3[[#This Row],[Payment Status]]="Overdue",1,0)</f>
        <v>1</v>
      </c>
      <c r="Q79" s="11"/>
      <c r="R79" s="4" t="s">
        <v>62</v>
      </c>
      <c r="S79" s="4" t="s">
        <v>67</v>
      </c>
    </row>
    <row r="80" spans="1:19" x14ac:dyDescent="0.3">
      <c r="A80" s="4" t="s">
        <v>610</v>
      </c>
      <c r="B80" s="4" t="s">
        <v>121</v>
      </c>
      <c r="C80" s="27"/>
      <c r="D80" s="14">
        <v>45619</v>
      </c>
      <c r="E80" s="14">
        <v>45811</v>
      </c>
      <c r="F80" s="17" t="str">
        <f t="shared" si="1"/>
        <v>Nov-2024</v>
      </c>
      <c r="G80" s="2">
        <v>26701.43</v>
      </c>
      <c r="H80" s="26" t="s">
        <v>941</v>
      </c>
      <c r="I80" s="32">
        <v>18</v>
      </c>
      <c r="J80" s="2">
        <v>4806.26</v>
      </c>
      <c r="K80" s="4" t="s">
        <v>66</v>
      </c>
      <c r="L80" s="4" t="s">
        <v>70</v>
      </c>
      <c r="M80" s="4" t="s">
        <v>55</v>
      </c>
      <c r="N80" s="5" t="s">
        <v>942</v>
      </c>
      <c r="O80" s="4" t="s">
        <v>939</v>
      </c>
      <c r="P80" s="6">
        <f>IF(Table3[[#This Row],[Payment Status]]="Overdue",1,0)</f>
        <v>0</v>
      </c>
      <c r="Q80" s="11"/>
      <c r="R80" s="4" t="s">
        <v>184</v>
      </c>
      <c r="S80" s="4" t="s">
        <v>63</v>
      </c>
    </row>
    <row r="81" spans="1:19" x14ac:dyDescent="0.3">
      <c r="A81" s="4" t="s">
        <v>233</v>
      </c>
      <c r="B81" s="4" t="s">
        <v>121</v>
      </c>
      <c r="C81" s="26" t="s">
        <v>234</v>
      </c>
      <c r="D81" s="14">
        <v>45464</v>
      </c>
      <c r="E81" s="14">
        <v>45948</v>
      </c>
      <c r="F81" s="17" t="str">
        <f t="shared" si="1"/>
        <v>Jun-2024</v>
      </c>
      <c r="G81" s="2">
        <v>14512.2</v>
      </c>
      <c r="H81" s="26" t="s">
        <v>941</v>
      </c>
      <c r="I81" s="32">
        <v>18</v>
      </c>
      <c r="J81" s="2">
        <v>2612.1999999999998</v>
      </c>
      <c r="K81" s="4" t="s">
        <v>106</v>
      </c>
      <c r="L81" s="4" t="s">
        <v>24</v>
      </c>
      <c r="M81" s="4" t="s">
        <v>19</v>
      </c>
      <c r="N81" s="4" t="s">
        <v>80</v>
      </c>
      <c r="O81" s="6" t="s">
        <v>126</v>
      </c>
      <c r="P81" s="6">
        <f>IF(Table3[[#This Row],[Payment Status]]="Overdue",1,0)</f>
        <v>0</v>
      </c>
      <c r="Q81" s="10">
        <v>45533</v>
      </c>
      <c r="R81" s="4" t="s">
        <v>36</v>
      </c>
      <c r="S81" s="4" t="s">
        <v>63</v>
      </c>
    </row>
    <row r="82" spans="1:19" x14ac:dyDescent="0.3">
      <c r="A82" s="4" t="s">
        <v>508</v>
      </c>
      <c r="B82" s="4" t="s">
        <v>155</v>
      </c>
      <c r="C82" s="26" t="s">
        <v>509</v>
      </c>
      <c r="D82" s="14">
        <v>45579</v>
      </c>
      <c r="E82" s="14">
        <v>45856</v>
      </c>
      <c r="F82" s="17" t="str">
        <f t="shared" si="1"/>
        <v>Oct-2024</v>
      </c>
      <c r="G82" s="2">
        <v>45071.09</v>
      </c>
      <c r="H82" s="26" t="s">
        <v>941</v>
      </c>
      <c r="I82" s="32">
        <v>0</v>
      </c>
      <c r="J82" s="2">
        <v>0</v>
      </c>
      <c r="K82" s="4" t="s">
        <v>97</v>
      </c>
      <c r="L82" s="4" t="s">
        <v>60</v>
      </c>
      <c r="M82" s="4" t="s">
        <v>25</v>
      </c>
      <c r="N82" s="5" t="s">
        <v>942</v>
      </c>
      <c r="O82" s="4" t="s">
        <v>939</v>
      </c>
      <c r="P82" s="6">
        <f>IF(Table3[[#This Row],[Payment Status]]="Overdue",1,0)</f>
        <v>0</v>
      </c>
      <c r="Q82" s="11"/>
      <c r="R82" s="4" t="s">
        <v>40</v>
      </c>
      <c r="S82" s="4" t="s">
        <v>88</v>
      </c>
    </row>
    <row r="83" spans="1:19" x14ac:dyDescent="0.3">
      <c r="A83" s="4" t="s">
        <v>766</v>
      </c>
      <c r="B83" s="4" t="s">
        <v>31</v>
      </c>
      <c r="C83" s="27"/>
      <c r="D83" s="14">
        <v>45374</v>
      </c>
      <c r="E83" s="14">
        <v>45375</v>
      </c>
      <c r="F83" s="17" t="str">
        <f t="shared" si="1"/>
        <v>Mar-2024</v>
      </c>
      <c r="G83" s="2">
        <v>8083.52</v>
      </c>
      <c r="H83" s="26" t="s">
        <v>941</v>
      </c>
      <c r="I83" s="32">
        <v>0</v>
      </c>
      <c r="J83" s="2">
        <v>0</v>
      </c>
      <c r="K83" s="4" t="s">
        <v>230</v>
      </c>
      <c r="L83" s="4" t="s">
        <v>45</v>
      </c>
      <c r="M83" s="4" t="s">
        <v>39</v>
      </c>
      <c r="N83" s="4" t="s">
        <v>26</v>
      </c>
      <c r="O83" s="4" t="s">
        <v>126</v>
      </c>
      <c r="P83" s="6">
        <f>IF(Table3[[#This Row],[Payment Status]]="Overdue",1,0)</f>
        <v>0</v>
      </c>
      <c r="Q83" s="10">
        <v>45326</v>
      </c>
      <c r="R83" s="4" t="s">
        <v>36</v>
      </c>
      <c r="S83" s="5" t="s">
        <v>941</v>
      </c>
    </row>
    <row r="84" spans="1:19" x14ac:dyDescent="0.3">
      <c r="A84" s="4" t="s">
        <v>442</v>
      </c>
      <c r="B84" s="4" t="s">
        <v>155</v>
      </c>
      <c r="C84" s="26" t="s">
        <v>443</v>
      </c>
      <c r="D84" s="14">
        <v>45481</v>
      </c>
      <c r="E84" s="14">
        <v>45893</v>
      </c>
      <c r="F84" s="17" t="str">
        <f t="shared" si="1"/>
        <v>Jul-2024</v>
      </c>
      <c r="G84" s="2">
        <v>78965.039999999994</v>
      </c>
      <c r="H84" s="26" t="s">
        <v>941</v>
      </c>
      <c r="I84" s="32">
        <v>18</v>
      </c>
      <c r="J84" s="2">
        <v>14213.71</v>
      </c>
      <c r="K84" s="4" t="s">
        <v>97</v>
      </c>
      <c r="L84" s="4" t="s">
        <v>54</v>
      </c>
      <c r="M84" s="4" t="s">
        <v>19</v>
      </c>
      <c r="N84" s="4" t="s">
        <v>26</v>
      </c>
      <c r="O84" s="4" t="s">
        <v>126</v>
      </c>
      <c r="P84" s="6">
        <f>IF(Table3[[#This Row],[Payment Status]]="Overdue",1,0)</f>
        <v>0</v>
      </c>
      <c r="Q84" s="10">
        <v>45948</v>
      </c>
      <c r="R84" s="4" t="s">
        <v>184</v>
      </c>
      <c r="S84" s="4" t="s">
        <v>63</v>
      </c>
    </row>
    <row r="85" spans="1:19" x14ac:dyDescent="0.3">
      <c r="A85" s="4" t="s">
        <v>124</v>
      </c>
      <c r="B85" s="4" t="s">
        <v>50</v>
      </c>
      <c r="C85" s="26" t="s">
        <v>125</v>
      </c>
      <c r="D85" s="14">
        <v>45761</v>
      </c>
      <c r="E85" s="14">
        <v>45891</v>
      </c>
      <c r="F85" s="17" t="str">
        <f t="shared" si="1"/>
        <v>Apr-2025</v>
      </c>
      <c r="G85" s="2">
        <v>65668.399999999994</v>
      </c>
      <c r="H85" s="26" t="s">
        <v>941</v>
      </c>
      <c r="I85" s="32">
        <v>0</v>
      </c>
      <c r="J85" s="2">
        <v>0</v>
      </c>
      <c r="K85" s="4" t="s">
        <v>230</v>
      </c>
      <c r="L85" s="4" t="s">
        <v>940</v>
      </c>
      <c r="M85" s="4" t="s">
        <v>19</v>
      </c>
      <c r="N85" s="4" t="s">
        <v>117</v>
      </c>
      <c r="O85" s="4" t="s">
        <v>941</v>
      </c>
      <c r="P85" s="6">
        <f>IF(Table3[[#This Row],[Payment Status]]="Overdue",1,0)</f>
        <v>0</v>
      </c>
      <c r="Q85" s="11"/>
      <c r="R85" s="4" t="s">
        <v>62</v>
      </c>
      <c r="S85" s="4" t="s">
        <v>41</v>
      </c>
    </row>
    <row r="86" spans="1:19" x14ac:dyDescent="0.3">
      <c r="A86" s="4" t="s">
        <v>566</v>
      </c>
      <c r="B86" s="4" t="s">
        <v>206</v>
      </c>
      <c r="C86" s="26" t="s">
        <v>567</v>
      </c>
      <c r="D86" s="14">
        <v>45355</v>
      </c>
      <c r="E86" s="14">
        <v>45387</v>
      </c>
      <c r="F86" s="17" t="str">
        <f t="shared" si="1"/>
        <v>Mar-2024</v>
      </c>
      <c r="G86" s="2">
        <v>73436.490000000005</v>
      </c>
      <c r="H86" s="26" t="s">
        <v>941</v>
      </c>
      <c r="I86" s="32">
        <v>28</v>
      </c>
      <c r="J86" s="2">
        <v>20562.22</v>
      </c>
      <c r="K86" s="4" t="s">
        <v>44</v>
      </c>
      <c r="L86" s="4" t="s">
        <v>70</v>
      </c>
      <c r="M86" s="4" t="s">
        <v>19</v>
      </c>
      <c r="N86" s="4" t="s">
        <v>35</v>
      </c>
      <c r="O86" s="4" t="s">
        <v>126</v>
      </c>
      <c r="P86" s="6">
        <f>IF(Table3[[#This Row],[Payment Status]]="Overdue",1,0)</f>
        <v>0</v>
      </c>
      <c r="Q86" s="10">
        <v>45400</v>
      </c>
      <c r="R86" s="4" t="s">
        <v>62</v>
      </c>
      <c r="S86" s="4" t="s">
        <v>88</v>
      </c>
    </row>
    <row r="87" spans="1:19" x14ac:dyDescent="0.3">
      <c r="A87" s="4" t="s">
        <v>345</v>
      </c>
      <c r="B87" s="4" t="s">
        <v>121</v>
      </c>
      <c r="C87" s="26" t="s">
        <v>346</v>
      </c>
      <c r="D87" s="14">
        <v>45743</v>
      </c>
      <c r="E87" s="14">
        <v>45923</v>
      </c>
      <c r="F87" s="17" t="str">
        <f t="shared" si="1"/>
        <v>Mar-2025</v>
      </c>
      <c r="G87" s="2">
        <v>11646.29</v>
      </c>
      <c r="H87" s="26" t="s">
        <v>941</v>
      </c>
      <c r="I87" s="32">
        <v>28</v>
      </c>
      <c r="J87" s="2">
        <v>3260.96</v>
      </c>
      <c r="K87" s="4" t="s">
        <v>33</v>
      </c>
      <c r="L87" s="4" t="s">
        <v>70</v>
      </c>
      <c r="M87" s="4" t="s">
        <v>55</v>
      </c>
      <c r="N87" s="4" t="s">
        <v>117</v>
      </c>
      <c r="O87" s="4" t="s">
        <v>25</v>
      </c>
      <c r="P87" s="6">
        <f>IF(Table3[[#This Row],[Payment Status]]="Overdue",1,0)</f>
        <v>0</v>
      </c>
      <c r="Q87" s="11"/>
      <c r="R87" s="4" t="s">
        <v>36</v>
      </c>
      <c r="S87" s="4" t="s">
        <v>41</v>
      </c>
    </row>
    <row r="88" spans="1:19" x14ac:dyDescent="0.3">
      <c r="A88" s="4" t="s">
        <v>607</v>
      </c>
      <c r="B88" s="4" t="s">
        <v>31</v>
      </c>
      <c r="C88" s="26" t="s">
        <v>929</v>
      </c>
      <c r="D88" s="14">
        <v>45806</v>
      </c>
      <c r="F88" s="17" t="str">
        <f t="shared" si="1"/>
        <v>May-2025</v>
      </c>
      <c r="G88" s="2">
        <v>31121.57</v>
      </c>
      <c r="H88" s="26" t="s">
        <v>941</v>
      </c>
      <c r="I88" s="32">
        <v>5</v>
      </c>
      <c r="J88" s="2">
        <v>1556.08</v>
      </c>
      <c r="K88" s="4" t="s">
        <v>143</v>
      </c>
      <c r="L88" s="4" t="s">
        <v>66</v>
      </c>
      <c r="M88" s="4" t="s">
        <v>19</v>
      </c>
      <c r="N88" s="4" t="s">
        <v>117</v>
      </c>
      <c r="O88" s="4" t="s">
        <v>92</v>
      </c>
      <c r="P88" s="6">
        <f>IF(Table3[[#This Row],[Payment Status]]="Overdue",1,0)</f>
        <v>1</v>
      </c>
      <c r="Q88" s="11"/>
      <c r="R88" s="4" t="s">
        <v>941</v>
      </c>
      <c r="S88" s="4" t="s">
        <v>63</v>
      </c>
    </row>
    <row r="89" spans="1:19" x14ac:dyDescent="0.3">
      <c r="A89" s="4" t="s">
        <v>720</v>
      </c>
      <c r="B89" s="4" t="s">
        <v>924</v>
      </c>
      <c r="C89" s="26" t="s">
        <v>721</v>
      </c>
      <c r="D89" s="14">
        <v>45449</v>
      </c>
      <c r="E89" s="14">
        <v>45888</v>
      </c>
      <c r="F89" s="17" t="str">
        <f t="shared" si="1"/>
        <v>Jun-2024</v>
      </c>
      <c r="G89" s="2">
        <v>78508.61</v>
      </c>
      <c r="H89" s="26" t="s">
        <v>941</v>
      </c>
      <c r="I89" s="32">
        <v>0</v>
      </c>
      <c r="J89" s="2">
        <v>0</v>
      </c>
      <c r="K89" s="4" t="s">
        <v>97</v>
      </c>
      <c r="L89" s="4" t="s">
        <v>98</v>
      </c>
      <c r="M89" s="4" t="s">
        <v>19</v>
      </c>
      <c r="N89" s="4" t="s">
        <v>80</v>
      </c>
      <c r="O89" s="6" t="s">
        <v>941</v>
      </c>
      <c r="P89" s="6">
        <f>IF(Table3[[#This Row],[Payment Status]]="Overdue",1,0)</f>
        <v>0</v>
      </c>
      <c r="Q89" s="11"/>
      <c r="R89" s="4" t="s">
        <v>40</v>
      </c>
      <c r="S89" s="5" t="s">
        <v>941</v>
      </c>
    </row>
    <row r="90" spans="1:19" x14ac:dyDescent="0.3">
      <c r="A90" s="4" t="s">
        <v>637</v>
      </c>
      <c r="B90" s="4" t="s">
        <v>923</v>
      </c>
      <c r="C90" s="26" t="s">
        <v>638</v>
      </c>
      <c r="D90" s="14">
        <v>45519</v>
      </c>
      <c r="E90" s="14">
        <v>45540</v>
      </c>
      <c r="F90" s="17" t="str">
        <f t="shared" si="1"/>
        <v>Aug-2024</v>
      </c>
      <c r="G90" s="2">
        <v>47495.74</v>
      </c>
      <c r="H90" s="26" t="s">
        <v>941</v>
      </c>
      <c r="I90" s="32">
        <v>18</v>
      </c>
      <c r="J90" s="2">
        <v>8549.23</v>
      </c>
      <c r="K90" s="4" t="s">
        <v>106</v>
      </c>
      <c r="L90" s="4" t="s">
        <v>66</v>
      </c>
      <c r="M90" s="4" t="s">
        <v>25</v>
      </c>
      <c r="N90" s="4" t="s">
        <v>80</v>
      </c>
      <c r="O90" s="4" t="s">
        <v>92</v>
      </c>
      <c r="P90" s="6">
        <f>IF(Table3[[#This Row],[Payment Status]]="Overdue",1,0)</f>
        <v>1</v>
      </c>
      <c r="Q90" s="11"/>
      <c r="R90" s="4" t="s">
        <v>20</v>
      </c>
      <c r="S90" s="4" t="s">
        <v>63</v>
      </c>
    </row>
    <row r="91" spans="1:19" x14ac:dyDescent="0.3">
      <c r="A91" s="4" t="s">
        <v>308</v>
      </c>
      <c r="B91" s="4" t="s">
        <v>153</v>
      </c>
      <c r="C91" s="26" t="s">
        <v>309</v>
      </c>
      <c r="D91" s="14">
        <v>45377</v>
      </c>
      <c r="E91" s="14">
        <v>45538</v>
      </c>
      <c r="F91" s="17" t="str">
        <f t="shared" si="1"/>
        <v>Mar-2024</v>
      </c>
      <c r="G91" s="2">
        <v>2066.35</v>
      </c>
      <c r="H91" s="26" t="s">
        <v>941</v>
      </c>
      <c r="I91" s="32">
        <v>18</v>
      </c>
      <c r="J91" s="2">
        <v>371.94</v>
      </c>
      <c r="K91" s="4" t="s">
        <v>73</v>
      </c>
      <c r="L91" s="4" t="s">
        <v>98</v>
      </c>
      <c r="M91" s="4" t="s">
        <v>941</v>
      </c>
      <c r="N91" s="5" t="s">
        <v>942</v>
      </c>
      <c r="O91" s="4" t="s">
        <v>126</v>
      </c>
      <c r="P91" s="6">
        <f>IF(Table3[[#This Row],[Payment Status]]="Overdue",1,0)</f>
        <v>0</v>
      </c>
      <c r="Q91" s="10">
        <v>45390</v>
      </c>
      <c r="R91" s="4" t="s">
        <v>28</v>
      </c>
      <c r="S91" s="4" t="s">
        <v>41</v>
      </c>
    </row>
    <row r="92" spans="1:19" x14ac:dyDescent="0.3">
      <c r="A92" s="4" t="s">
        <v>796</v>
      </c>
      <c r="B92" s="4" t="s">
        <v>163</v>
      </c>
      <c r="C92" s="26" t="s">
        <v>797</v>
      </c>
      <c r="D92" s="14">
        <v>45551</v>
      </c>
      <c r="E92" s="14">
        <v>45841</v>
      </c>
      <c r="F92" s="17" t="str">
        <f t="shared" si="1"/>
        <v>Sep-2024</v>
      </c>
      <c r="G92" s="2">
        <v>16871.75</v>
      </c>
      <c r="H92" s="26" t="s">
        <v>941</v>
      </c>
      <c r="I92" s="32">
        <v>18</v>
      </c>
      <c r="J92" s="2">
        <v>3036.91</v>
      </c>
      <c r="K92" s="4" t="s">
        <v>97</v>
      </c>
      <c r="L92" s="4" t="s">
        <v>940</v>
      </c>
      <c r="M92" s="4" t="s">
        <v>39</v>
      </c>
      <c r="N92" s="5" t="s">
        <v>942</v>
      </c>
      <c r="O92" s="4" t="s">
        <v>25</v>
      </c>
      <c r="P92" s="6">
        <f>IF(Table3[[#This Row],[Payment Status]]="Overdue",1,0)</f>
        <v>0</v>
      </c>
      <c r="Q92" s="11"/>
      <c r="R92" s="4" t="s">
        <v>28</v>
      </c>
      <c r="S92" s="4" t="s">
        <v>88</v>
      </c>
    </row>
    <row r="93" spans="1:19" x14ac:dyDescent="0.3">
      <c r="A93" s="4" t="s">
        <v>883</v>
      </c>
      <c r="B93" s="4" t="s">
        <v>206</v>
      </c>
      <c r="C93" s="26" t="s">
        <v>884</v>
      </c>
      <c r="D93" s="14">
        <v>45746</v>
      </c>
      <c r="F93" s="17" t="str">
        <f t="shared" si="1"/>
        <v>Mar-2025</v>
      </c>
      <c r="G93" s="2">
        <v>50756.73</v>
      </c>
      <c r="H93" s="26" t="s">
        <v>941</v>
      </c>
      <c r="I93" s="32">
        <v>18</v>
      </c>
      <c r="J93" s="2">
        <v>9136.2099999999991</v>
      </c>
      <c r="K93" s="4" t="s">
        <v>53</v>
      </c>
      <c r="L93" s="4" t="s">
        <v>66</v>
      </c>
      <c r="M93" s="4" t="s">
        <v>19</v>
      </c>
      <c r="N93" s="4" t="s">
        <v>117</v>
      </c>
      <c r="O93" s="4" t="s">
        <v>126</v>
      </c>
      <c r="P93" s="6">
        <f>IF(Table3[[#This Row],[Payment Status]]="Overdue",1,0)</f>
        <v>0</v>
      </c>
      <c r="Q93" s="10">
        <v>45486</v>
      </c>
      <c r="R93" s="4" t="s">
        <v>62</v>
      </c>
      <c r="S93" s="5" t="s">
        <v>941</v>
      </c>
    </row>
    <row r="94" spans="1:19" x14ac:dyDescent="0.3">
      <c r="A94" s="4" t="s">
        <v>252</v>
      </c>
      <c r="B94" s="4" t="s">
        <v>121</v>
      </c>
      <c r="C94" s="26" t="s">
        <v>253</v>
      </c>
      <c r="D94" s="14">
        <v>45651</v>
      </c>
      <c r="E94" s="14">
        <v>45746</v>
      </c>
      <c r="F94" s="17" t="str">
        <f t="shared" si="1"/>
        <v>Dec-2024</v>
      </c>
      <c r="G94" s="2">
        <v>48124</v>
      </c>
      <c r="H94" s="26" t="s">
        <v>941</v>
      </c>
      <c r="I94" s="32">
        <v>12</v>
      </c>
      <c r="J94" s="2">
        <v>5774.88</v>
      </c>
      <c r="K94" s="4" t="s">
        <v>73</v>
      </c>
      <c r="L94" s="4" t="s">
        <v>54</v>
      </c>
      <c r="M94" s="4" t="s">
        <v>61</v>
      </c>
      <c r="N94" s="5" t="s">
        <v>942</v>
      </c>
      <c r="O94" s="4" t="s">
        <v>126</v>
      </c>
      <c r="P94" s="6">
        <f>IF(Table3[[#This Row],[Payment Status]]="Overdue",1,0)</f>
        <v>0</v>
      </c>
      <c r="Q94" s="10">
        <v>45756</v>
      </c>
      <c r="R94" s="4" t="s">
        <v>62</v>
      </c>
      <c r="S94" s="4" t="s">
        <v>41</v>
      </c>
    </row>
    <row r="95" spans="1:19" x14ac:dyDescent="0.3">
      <c r="A95" s="4" t="s">
        <v>419</v>
      </c>
      <c r="B95" s="4" t="s">
        <v>311</v>
      </c>
      <c r="C95" s="26" t="s">
        <v>420</v>
      </c>
      <c r="D95" s="14">
        <v>45552</v>
      </c>
      <c r="F95" s="17" t="str">
        <f t="shared" si="1"/>
        <v>Sep-2024</v>
      </c>
      <c r="G95" s="2">
        <v>73307.64</v>
      </c>
      <c r="H95" s="26" t="s">
        <v>941</v>
      </c>
      <c r="I95" s="32">
        <v>0</v>
      </c>
      <c r="J95" s="2">
        <v>0</v>
      </c>
      <c r="K95" s="4" t="s">
        <v>33</v>
      </c>
      <c r="L95" s="4" t="s">
        <v>34</v>
      </c>
      <c r="M95" s="4" t="s">
        <v>61</v>
      </c>
      <c r="N95" s="4" t="s">
        <v>26</v>
      </c>
      <c r="O95" s="4" t="s">
        <v>126</v>
      </c>
      <c r="P95" s="6">
        <f>IF(Table3[[#This Row],[Payment Status]]="Overdue",1,0)</f>
        <v>0</v>
      </c>
      <c r="Q95" s="10">
        <v>45365</v>
      </c>
      <c r="R95" s="4" t="s">
        <v>36</v>
      </c>
      <c r="S95" s="4" t="s">
        <v>29</v>
      </c>
    </row>
    <row r="96" spans="1:19" x14ac:dyDescent="0.3">
      <c r="A96" s="4" t="s">
        <v>806</v>
      </c>
      <c r="B96" s="4" t="s">
        <v>923</v>
      </c>
      <c r="C96" s="26" t="s">
        <v>807</v>
      </c>
      <c r="D96" s="14">
        <v>45438</v>
      </c>
      <c r="E96" s="14">
        <v>45713</v>
      </c>
      <c r="F96" s="17" t="str">
        <f t="shared" si="1"/>
        <v>May-2024</v>
      </c>
      <c r="G96" s="2">
        <v>73718.990000000005</v>
      </c>
      <c r="H96" s="26" t="s">
        <v>941</v>
      </c>
      <c r="I96" s="32">
        <v>5</v>
      </c>
      <c r="J96" s="2">
        <v>3685.95</v>
      </c>
      <c r="K96" s="4" t="s">
        <v>73</v>
      </c>
      <c r="L96" s="4" t="s">
        <v>70</v>
      </c>
      <c r="M96" s="8" t="s">
        <v>941</v>
      </c>
      <c r="N96" s="4" t="s">
        <v>117</v>
      </c>
      <c r="O96" s="4" t="s">
        <v>92</v>
      </c>
      <c r="P96" s="6">
        <f>IF(Table3[[#This Row],[Payment Status]]="Overdue",1,0)</f>
        <v>1</v>
      </c>
      <c r="Q96" s="11"/>
      <c r="R96" s="4" t="s">
        <v>184</v>
      </c>
      <c r="S96" s="4" t="s">
        <v>63</v>
      </c>
    </row>
    <row r="97" spans="1:19" x14ac:dyDescent="0.3">
      <c r="A97" s="4" t="s">
        <v>908</v>
      </c>
      <c r="B97" s="4" t="s">
        <v>206</v>
      </c>
      <c r="C97" s="26" t="s">
        <v>909</v>
      </c>
      <c r="D97" s="14">
        <v>45791</v>
      </c>
      <c r="E97" s="14">
        <v>45900</v>
      </c>
      <c r="F97" s="17" t="str">
        <f t="shared" si="1"/>
        <v>May-2025</v>
      </c>
      <c r="G97" s="2">
        <v>73876.820000000007</v>
      </c>
      <c r="H97" s="26" t="s">
        <v>941</v>
      </c>
      <c r="I97" s="32">
        <v>18</v>
      </c>
      <c r="J97" s="2">
        <v>13297.83</v>
      </c>
      <c r="K97" s="4" t="s">
        <v>165</v>
      </c>
      <c r="L97" s="4" t="s">
        <v>98</v>
      </c>
      <c r="M97" s="4" t="s">
        <v>25</v>
      </c>
      <c r="N97" s="4" t="s">
        <v>100</v>
      </c>
      <c r="O97" s="4" t="s">
        <v>92</v>
      </c>
      <c r="P97" s="6">
        <f>IF(Table3[[#This Row],[Payment Status]]="Overdue",1,0)</f>
        <v>1</v>
      </c>
      <c r="Q97" s="11"/>
      <c r="R97" s="4" t="s">
        <v>62</v>
      </c>
      <c r="S97" s="4" t="s">
        <v>85</v>
      </c>
    </row>
    <row r="98" spans="1:19" x14ac:dyDescent="0.3">
      <c r="A98" s="4" t="s">
        <v>409</v>
      </c>
      <c r="B98" s="4" t="s">
        <v>153</v>
      </c>
      <c r="C98" s="26" t="s">
        <v>410</v>
      </c>
      <c r="D98" s="14">
        <v>45913</v>
      </c>
      <c r="F98" s="17" t="str">
        <f t="shared" si="1"/>
        <v>Sep-2025</v>
      </c>
      <c r="G98" s="2">
        <v>37593.11</v>
      </c>
      <c r="H98" s="26" t="s">
        <v>941</v>
      </c>
      <c r="I98" s="32">
        <v>5</v>
      </c>
      <c r="J98" s="2">
        <v>1879.66</v>
      </c>
      <c r="K98" s="4" t="s">
        <v>97</v>
      </c>
      <c r="L98" s="4" t="s">
        <v>940</v>
      </c>
      <c r="M98" s="4" t="s">
        <v>19</v>
      </c>
      <c r="N98" s="5" t="s">
        <v>942</v>
      </c>
      <c r="O98" s="4" t="s">
        <v>92</v>
      </c>
      <c r="P98" s="6">
        <f>IF(Table3[[#This Row],[Payment Status]]="Overdue",1,0)</f>
        <v>1</v>
      </c>
      <c r="R98" s="4" t="s">
        <v>941</v>
      </c>
      <c r="S98" s="4" t="s">
        <v>63</v>
      </c>
    </row>
    <row r="99" spans="1:19" x14ac:dyDescent="0.3">
      <c r="A99" s="4" t="s">
        <v>270</v>
      </c>
      <c r="B99" s="4" t="s">
        <v>128</v>
      </c>
      <c r="C99" s="26" t="s">
        <v>271</v>
      </c>
      <c r="D99" s="14">
        <v>45367</v>
      </c>
      <c r="E99" s="14">
        <v>45523</v>
      </c>
      <c r="F99" s="17" t="str">
        <f t="shared" si="1"/>
        <v>Mar-2024</v>
      </c>
      <c r="G99" s="2">
        <v>938</v>
      </c>
      <c r="H99" s="26" t="s">
        <v>941</v>
      </c>
      <c r="I99" s="32">
        <v>28</v>
      </c>
      <c r="J99" s="2">
        <v>262.64</v>
      </c>
      <c r="K99" s="4" t="s">
        <v>97</v>
      </c>
      <c r="L99" s="4" t="s">
        <v>60</v>
      </c>
      <c r="M99" s="4" t="s">
        <v>55</v>
      </c>
      <c r="N99" s="4" t="s">
        <v>91</v>
      </c>
      <c r="O99" s="4" t="s">
        <v>939</v>
      </c>
      <c r="P99" s="6">
        <f>IF(Table3[[#This Row],[Payment Status]]="Overdue",1,0)</f>
        <v>0</v>
      </c>
      <c r="Q99" s="11"/>
      <c r="R99" s="4" t="s">
        <v>28</v>
      </c>
      <c r="S99" s="4" t="s">
        <v>63</v>
      </c>
    </row>
    <row r="100" spans="1:19" x14ac:dyDescent="0.3">
      <c r="A100" s="4" t="s">
        <v>132</v>
      </c>
      <c r="B100" s="4" t="s">
        <v>153</v>
      </c>
      <c r="C100" s="26" t="s">
        <v>133</v>
      </c>
      <c r="D100" s="14">
        <v>45836</v>
      </c>
      <c r="F100" s="17" t="str">
        <f t="shared" si="1"/>
        <v>Jun-2025</v>
      </c>
      <c r="G100" s="2">
        <v>78203.02</v>
      </c>
      <c r="H100" s="26" t="s">
        <v>941</v>
      </c>
      <c r="I100" s="32">
        <v>5</v>
      </c>
      <c r="J100" s="2">
        <v>3910.15</v>
      </c>
      <c r="K100" s="4" t="s">
        <v>230</v>
      </c>
      <c r="L100" s="4" t="s">
        <v>34</v>
      </c>
      <c r="M100" s="4" t="s">
        <v>19</v>
      </c>
      <c r="N100" s="5" t="s">
        <v>942</v>
      </c>
      <c r="O100" s="4" t="s">
        <v>939</v>
      </c>
      <c r="P100" s="6">
        <f>IF(Table3[[#This Row],[Payment Status]]="Overdue",1,0)</f>
        <v>0</v>
      </c>
      <c r="Q100" s="11"/>
      <c r="R100" s="4" t="s">
        <v>62</v>
      </c>
      <c r="S100" s="4" t="s">
        <v>63</v>
      </c>
    </row>
    <row r="101" spans="1:19" x14ac:dyDescent="0.3">
      <c r="A101" s="4" t="s">
        <v>730</v>
      </c>
      <c r="B101" s="4" t="s">
        <v>311</v>
      </c>
      <c r="C101" s="26" t="s">
        <v>731</v>
      </c>
      <c r="D101" s="14">
        <v>45350</v>
      </c>
      <c r="E101" s="14">
        <v>45822</v>
      </c>
      <c r="F101" s="17" t="str">
        <f t="shared" si="1"/>
        <v>Feb-2024</v>
      </c>
      <c r="G101" s="2">
        <v>63604.53</v>
      </c>
      <c r="H101" s="26" t="s">
        <v>941</v>
      </c>
      <c r="I101" s="32">
        <v>18</v>
      </c>
      <c r="J101" s="2">
        <v>11448.82</v>
      </c>
      <c r="K101" s="4" t="s">
        <v>106</v>
      </c>
      <c r="L101" s="4" t="s">
        <v>940</v>
      </c>
      <c r="M101" s="4" t="s">
        <v>19</v>
      </c>
      <c r="N101" s="4" t="s">
        <v>91</v>
      </c>
      <c r="O101" s="4" t="s">
        <v>92</v>
      </c>
      <c r="P101" s="6">
        <f>IF(Table3[[#This Row],[Payment Status]]="Overdue",1,0)</f>
        <v>1</v>
      </c>
      <c r="Q101" s="11"/>
      <c r="R101" s="4" t="s">
        <v>40</v>
      </c>
      <c r="S101" s="4" t="s">
        <v>41</v>
      </c>
    </row>
    <row r="102" spans="1:19" x14ac:dyDescent="0.3">
      <c r="A102" s="4" t="s">
        <v>820</v>
      </c>
      <c r="B102" s="4" t="s">
        <v>141</v>
      </c>
      <c r="C102" s="26" t="s">
        <v>821</v>
      </c>
      <c r="D102" s="14">
        <v>45435</v>
      </c>
      <c r="E102" s="14">
        <v>45567</v>
      </c>
      <c r="F102" s="17" t="str">
        <f t="shared" si="1"/>
        <v>May-2024</v>
      </c>
      <c r="G102" s="2">
        <v>43135.91</v>
      </c>
      <c r="H102" s="26" t="s">
        <v>18</v>
      </c>
      <c r="I102" s="32">
        <v>18</v>
      </c>
      <c r="J102" s="2">
        <v>7764.46</v>
      </c>
      <c r="K102" s="4" t="s">
        <v>66</v>
      </c>
      <c r="L102" s="4" t="s">
        <v>60</v>
      </c>
      <c r="M102" s="4" t="s">
        <v>19</v>
      </c>
      <c r="N102" s="4" t="s">
        <v>56</v>
      </c>
      <c r="O102" s="4" t="s">
        <v>111</v>
      </c>
      <c r="P102" s="6">
        <f>IF(Table3[[#This Row],[Payment Status]]="Overdue",1,0)</f>
        <v>0</v>
      </c>
      <c r="Q102" s="11"/>
      <c r="R102" s="4" t="s">
        <v>36</v>
      </c>
      <c r="S102" s="4" t="s">
        <v>85</v>
      </c>
    </row>
    <row r="103" spans="1:19" x14ac:dyDescent="0.3">
      <c r="A103" s="4" t="s">
        <v>769</v>
      </c>
      <c r="B103" s="4" t="s">
        <v>50</v>
      </c>
      <c r="C103" s="26" t="s">
        <v>770</v>
      </c>
      <c r="D103" s="14">
        <v>45938</v>
      </c>
      <c r="F103" s="17" t="str">
        <f t="shared" si="1"/>
        <v>Oct-2025</v>
      </c>
      <c r="G103" s="2">
        <v>78604.66</v>
      </c>
      <c r="H103" s="26" t="s">
        <v>52</v>
      </c>
      <c r="I103" s="32">
        <v>0</v>
      </c>
      <c r="J103" s="2">
        <v>0</v>
      </c>
      <c r="K103" s="4" t="s">
        <v>53</v>
      </c>
      <c r="L103" s="4" t="s">
        <v>24</v>
      </c>
      <c r="M103" s="4" t="s">
        <v>39</v>
      </c>
      <c r="N103" s="5" t="s">
        <v>942</v>
      </c>
      <c r="O103" s="4" t="s">
        <v>92</v>
      </c>
      <c r="P103" s="6">
        <f>IF(Table3[[#This Row],[Payment Status]]="Overdue",1,0)</f>
        <v>1</v>
      </c>
      <c r="Q103" s="11"/>
      <c r="R103" s="4" t="s">
        <v>57</v>
      </c>
      <c r="S103" s="4" t="s">
        <v>88</v>
      </c>
    </row>
    <row r="104" spans="1:19" x14ac:dyDescent="0.3">
      <c r="A104" s="4" t="s">
        <v>593</v>
      </c>
      <c r="B104" s="4" t="s">
        <v>155</v>
      </c>
      <c r="C104" s="26" t="s">
        <v>594</v>
      </c>
      <c r="D104" s="14">
        <v>45731</v>
      </c>
      <c r="E104" s="14">
        <v>45760</v>
      </c>
      <c r="F104" s="17" t="str">
        <f t="shared" si="1"/>
        <v>Mar-2025</v>
      </c>
      <c r="G104" s="2">
        <v>22461.279999999999</v>
      </c>
      <c r="H104" s="26" t="s">
        <v>52</v>
      </c>
      <c r="I104" s="32">
        <v>18</v>
      </c>
      <c r="J104" s="2">
        <v>4043.03</v>
      </c>
      <c r="K104" s="4" t="s">
        <v>53</v>
      </c>
      <c r="L104" s="4" t="s">
        <v>79</v>
      </c>
      <c r="M104" s="4" t="s">
        <v>61</v>
      </c>
      <c r="N104" s="4" t="s">
        <v>26</v>
      </c>
      <c r="O104" s="6" t="s">
        <v>126</v>
      </c>
      <c r="P104" s="6">
        <f>IF(Table3[[#This Row],[Payment Status]]="Overdue",1,0)</f>
        <v>0</v>
      </c>
      <c r="Q104" s="10">
        <v>45737</v>
      </c>
      <c r="R104" s="4" t="s">
        <v>20</v>
      </c>
      <c r="S104" s="4" t="s">
        <v>85</v>
      </c>
    </row>
    <row r="105" spans="1:19" x14ac:dyDescent="0.3">
      <c r="A105" s="4" t="s">
        <v>800</v>
      </c>
      <c r="B105" s="4" t="s">
        <v>50</v>
      </c>
      <c r="C105" s="26" t="s">
        <v>801</v>
      </c>
      <c r="D105" s="14">
        <v>45353</v>
      </c>
      <c r="E105" s="14">
        <v>45621</v>
      </c>
      <c r="F105" s="17" t="str">
        <f t="shared" si="1"/>
        <v>Mar-2024</v>
      </c>
      <c r="G105" s="2">
        <v>23166.240000000002</v>
      </c>
      <c r="H105" s="26" t="s">
        <v>941</v>
      </c>
      <c r="I105" s="32">
        <v>18</v>
      </c>
      <c r="J105" s="2">
        <v>4169.92</v>
      </c>
      <c r="K105" s="4" t="s">
        <v>165</v>
      </c>
      <c r="L105" s="4" t="s">
        <v>60</v>
      </c>
      <c r="M105" s="4" t="s">
        <v>25</v>
      </c>
      <c r="N105" s="4" t="s">
        <v>80</v>
      </c>
      <c r="O105" s="4" t="s">
        <v>939</v>
      </c>
      <c r="P105" s="6">
        <f>IF(Table3[[#This Row],[Payment Status]]="Overdue",1,0)</f>
        <v>0</v>
      </c>
      <c r="Q105" s="11"/>
      <c r="R105" s="4" t="s">
        <v>62</v>
      </c>
      <c r="S105" s="4" t="s">
        <v>85</v>
      </c>
    </row>
    <row r="106" spans="1:19" x14ac:dyDescent="0.3">
      <c r="A106" s="4" t="s">
        <v>771</v>
      </c>
      <c r="B106" s="4" t="s">
        <v>163</v>
      </c>
      <c r="C106" s="26" t="s">
        <v>772</v>
      </c>
      <c r="D106" s="14">
        <v>45481</v>
      </c>
      <c r="E106" s="14">
        <v>45492</v>
      </c>
      <c r="F106" s="17" t="str">
        <f t="shared" si="1"/>
        <v>Jul-2024</v>
      </c>
      <c r="G106" s="2">
        <v>64676.92</v>
      </c>
      <c r="H106" s="26" t="s">
        <v>941</v>
      </c>
      <c r="I106" s="32">
        <v>0</v>
      </c>
      <c r="J106" s="2">
        <v>0</v>
      </c>
      <c r="K106" s="4" t="s">
        <v>230</v>
      </c>
      <c r="L106" s="4" t="s">
        <v>24</v>
      </c>
      <c r="M106" s="4" t="s">
        <v>25</v>
      </c>
      <c r="N106" s="5" t="s">
        <v>942</v>
      </c>
      <c r="O106" s="4" t="s">
        <v>126</v>
      </c>
      <c r="P106" s="6">
        <f>IF(Table3[[#This Row],[Payment Status]]="Overdue",1,0)</f>
        <v>0</v>
      </c>
      <c r="Q106" s="10">
        <v>45504</v>
      </c>
      <c r="R106" s="4" t="s">
        <v>36</v>
      </c>
      <c r="S106" s="4" t="s">
        <v>63</v>
      </c>
    </row>
    <row r="107" spans="1:19" x14ac:dyDescent="0.3">
      <c r="A107" s="4" t="s">
        <v>708</v>
      </c>
      <c r="B107" s="4" t="s">
        <v>206</v>
      </c>
      <c r="C107" s="26" t="s">
        <v>709</v>
      </c>
      <c r="D107" s="14">
        <v>45689</v>
      </c>
      <c r="F107" s="17" t="str">
        <f t="shared" si="1"/>
        <v>Feb-2025</v>
      </c>
      <c r="G107" s="2">
        <v>11478.65</v>
      </c>
      <c r="H107" s="26" t="s">
        <v>941</v>
      </c>
      <c r="I107" s="32">
        <v>0</v>
      </c>
      <c r="J107" s="2">
        <v>0</v>
      </c>
      <c r="K107" s="4" t="s">
        <v>165</v>
      </c>
      <c r="L107" s="4" t="s">
        <v>940</v>
      </c>
      <c r="M107" s="4" t="s">
        <v>39</v>
      </c>
      <c r="N107" s="4" t="s">
        <v>80</v>
      </c>
      <c r="O107" s="4" t="s">
        <v>939</v>
      </c>
      <c r="P107" s="6">
        <f>IF(Table3[[#This Row],[Payment Status]]="Overdue",1,0)</f>
        <v>0</v>
      </c>
      <c r="Q107" s="11"/>
      <c r="R107" s="4" t="s">
        <v>36</v>
      </c>
      <c r="S107" s="4" t="s">
        <v>63</v>
      </c>
    </row>
    <row r="108" spans="1:19" x14ac:dyDescent="0.3">
      <c r="A108" s="4" t="s">
        <v>421</v>
      </c>
      <c r="B108" s="4" t="s">
        <v>923</v>
      </c>
      <c r="C108" s="26" t="s">
        <v>422</v>
      </c>
      <c r="D108" s="14">
        <v>45493</v>
      </c>
      <c r="E108" s="14">
        <v>45658</v>
      </c>
      <c r="F108" s="17" t="str">
        <f t="shared" si="1"/>
        <v>Jul-2024</v>
      </c>
      <c r="G108" s="2">
        <v>38495.160000000003</v>
      </c>
      <c r="H108" s="26" t="s">
        <v>941</v>
      </c>
      <c r="I108" s="32">
        <v>0</v>
      </c>
      <c r="J108" s="2">
        <v>0</v>
      </c>
      <c r="K108" s="4" t="s">
        <v>143</v>
      </c>
      <c r="L108" s="4" t="s">
        <v>940</v>
      </c>
      <c r="M108" s="4" t="s">
        <v>19</v>
      </c>
      <c r="N108" s="4" t="s">
        <v>100</v>
      </c>
      <c r="O108" s="4" t="s">
        <v>27</v>
      </c>
      <c r="P108" s="6">
        <f>IF(Table3[[#This Row],[Payment Status]]="Overdue",1,0)</f>
        <v>0</v>
      </c>
      <c r="Q108" s="11"/>
      <c r="R108" s="4" t="s">
        <v>36</v>
      </c>
      <c r="S108" s="4" t="s">
        <v>41</v>
      </c>
    </row>
    <row r="109" spans="1:19" x14ac:dyDescent="0.3">
      <c r="A109" s="4" t="s">
        <v>325</v>
      </c>
      <c r="B109" s="4" t="s">
        <v>153</v>
      </c>
      <c r="C109" s="26" t="s">
        <v>326</v>
      </c>
      <c r="D109" s="14">
        <v>45776</v>
      </c>
      <c r="E109" s="14">
        <v>45855</v>
      </c>
      <c r="F109" s="17" t="str">
        <f t="shared" si="1"/>
        <v>Apr-2025</v>
      </c>
      <c r="G109" s="2">
        <v>8796.84</v>
      </c>
      <c r="H109" s="26" t="s">
        <v>941</v>
      </c>
      <c r="I109" s="32">
        <v>28</v>
      </c>
      <c r="J109" s="2">
        <v>2463.12</v>
      </c>
      <c r="K109" s="4" t="s">
        <v>97</v>
      </c>
      <c r="L109" s="4" t="s">
        <v>45</v>
      </c>
      <c r="M109" s="4" t="s">
        <v>19</v>
      </c>
      <c r="N109" s="4" t="s">
        <v>26</v>
      </c>
      <c r="O109" s="4" t="s">
        <v>126</v>
      </c>
      <c r="P109" s="6">
        <f>IF(Table3[[#This Row],[Payment Status]]="Overdue",1,0)</f>
        <v>0</v>
      </c>
      <c r="Q109" s="10">
        <v>45871</v>
      </c>
      <c r="R109" s="4" t="s">
        <v>20</v>
      </c>
      <c r="S109" s="4" t="s">
        <v>67</v>
      </c>
    </row>
    <row r="110" spans="1:19" x14ac:dyDescent="0.3">
      <c r="A110" s="4" t="s">
        <v>918</v>
      </c>
      <c r="B110" s="4" t="s">
        <v>924</v>
      </c>
      <c r="C110" s="26" t="s">
        <v>864</v>
      </c>
      <c r="D110" s="14">
        <v>45808</v>
      </c>
      <c r="E110" s="14">
        <v>45883</v>
      </c>
      <c r="F110" s="17" t="str">
        <f t="shared" si="1"/>
        <v>May-2025</v>
      </c>
      <c r="G110" s="2">
        <v>7487.35</v>
      </c>
      <c r="H110" s="26" t="s">
        <v>941</v>
      </c>
      <c r="I110" s="32">
        <v>5</v>
      </c>
      <c r="J110" s="2">
        <v>374.37</v>
      </c>
      <c r="K110" s="4" t="s">
        <v>143</v>
      </c>
      <c r="L110" s="4" t="s">
        <v>98</v>
      </c>
      <c r="M110" s="4" t="s">
        <v>55</v>
      </c>
      <c r="N110" s="5" t="s">
        <v>942</v>
      </c>
      <c r="O110" s="4" t="s">
        <v>25</v>
      </c>
      <c r="P110" s="6">
        <f>IF(Table3[[#This Row],[Payment Status]]="Overdue",1,0)</f>
        <v>0</v>
      </c>
      <c r="Q110" s="11"/>
      <c r="R110" s="4" t="s">
        <v>36</v>
      </c>
      <c r="S110" s="4" t="s">
        <v>63</v>
      </c>
    </row>
    <row r="111" spans="1:19" x14ac:dyDescent="0.3">
      <c r="A111" s="4" t="s">
        <v>289</v>
      </c>
      <c r="B111" s="4" t="s">
        <v>190</v>
      </c>
      <c r="C111" s="27"/>
      <c r="D111" s="14">
        <v>45514</v>
      </c>
      <c r="F111" s="17" t="str">
        <f t="shared" si="1"/>
        <v>Aug-2024</v>
      </c>
      <c r="G111" s="2">
        <v>14812.69</v>
      </c>
      <c r="H111" s="26" t="s">
        <v>941</v>
      </c>
      <c r="I111" s="32">
        <v>18</v>
      </c>
      <c r="J111" s="2">
        <v>2666.28</v>
      </c>
      <c r="K111" s="4" t="s">
        <v>165</v>
      </c>
      <c r="L111" s="4" t="s">
        <v>54</v>
      </c>
      <c r="M111" s="4" t="s">
        <v>19</v>
      </c>
      <c r="N111" s="4" t="s">
        <v>91</v>
      </c>
      <c r="O111" s="4" t="s">
        <v>126</v>
      </c>
      <c r="P111" s="6">
        <f>IF(Table3[[#This Row],[Payment Status]]="Overdue",1,0)</f>
        <v>0</v>
      </c>
      <c r="Q111" s="10">
        <v>45358</v>
      </c>
      <c r="R111" s="4" t="s">
        <v>62</v>
      </c>
      <c r="S111" s="4" t="s">
        <v>63</v>
      </c>
    </row>
    <row r="112" spans="1:19" x14ac:dyDescent="0.3">
      <c r="A112" s="4" t="s">
        <v>759</v>
      </c>
      <c r="B112" s="4" t="s">
        <v>206</v>
      </c>
      <c r="C112" s="26" t="s">
        <v>760</v>
      </c>
      <c r="D112" s="14">
        <v>45538</v>
      </c>
      <c r="E112" s="14">
        <v>45806</v>
      </c>
      <c r="F112" s="17" t="str">
        <f t="shared" si="1"/>
        <v>Sep-2024</v>
      </c>
      <c r="G112" s="2">
        <v>15407.38</v>
      </c>
      <c r="H112" s="26" t="s">
        <v>941</v>
      </c>
      <c r="I112" s="32">
        <v>0</v>
      </c>
      <c r="J112" s="2">
        <v>0</v>
      </c>
      <c r="K112" s="4" t="s">
        <v>97</v>
      </c>
      <c r="L112" s="4" t="s">
        <v>98</v>
      </c>
      <c r="M112" s="4" t="s">
        <v>25</v>
      </c>
      <c r="N112" s="4" t="s">
        <v>26</v>
      </c>
      <c r="O112" s="4" t="s">
        <v>111</v>
      </c>
      <c r="P112" s="6">
        <f>IF(Table3[[#This Row],[Payment Status]]="Overdue",1,0)</f>
        <v>0</v>
      </c>
      <c r="Q112" s="11"/>
      <c r="R112" s="4" t="s">
        <v>20</v>
      </c>
      <c r="S112" s="5" t="s">
        <v>941</v>
      </c>
    </row>
    <row r="113" spans="1:19" x14ac:dyDescent="0.3">
      <c r="A113" s="4" t="s">
        <v>534</v>
      </c>
      <c r="B113" s="4" t="s">
        <v>206</v>
      </c>
      <c r="C113" s="26" t="s">
        <v>535</v>
      </c>
      <c r="D113" s="14">
        <v>45475</v>
      </c>
      <c r="F113" s="17" t="str">
        <f t="shared" si="1"/>
        <v>Jul-2024</v>
      </c>
      <c r="G113" s="2">
        <v>80550.36</v>
      </c>
      <c r="H113" s="26" t="s">
        <v>941</v>
      </c>
      <c r="I113" s="32">
        <v>5</v>
      </c>
      <c r="J113" s="2">
        <v>4027.52</v>
      </c>
      <c r="K113" s="4" t="s">
        <v>33</v>
      </c>
      <c r="L113" s="4" t="s">
        <v>98</v>
      </c>
      <c r="M113" s="4" t="s">
        <v>39</v>
      </c>
      <c r="N113" s="4" t="s">
        <v>100</v>
      </c>
      <c r="O113" s="4" t="s">
        <v>111</v>
      </c>
      <c r="P113" s="6">
        <f>IF(Table3[[#This Row],[Payment Status]]="Overdue",1,0)</f>
        <v>0</v>
      </c>
      <c r="Q113" s="11"/>
      <c r="R113" s="4" t="s">
        <v>20</v>
      </c>
      <c r="S113" s="5" t="s">
        <v>941</v>
      </c>
    </row>
    <row r="114" spans="1:19" x14ac:dyDescent="0.3">
      <c r="A114" s="4" t="s">
        <v>127</v>
      </c>
      <c r="B114" s="4" t="s">
        <v>128</v>
      </c>
      <c r="C114" s="26" t="s">
        <v>129</v>
      </c>
      <c r="D114" s="14">
        <v>45405</v>
      </c>
      <c r="E114" s="14">
        <v>45689</v>
      </c>
      <c r="F114" s="17" t="str">
        <f t="shared" si="1"/>
        <v>Apr-2024</v>
      </c>
      <c r="G114" s="2">
        <v>81653.41</v>
      </c>
      <c r="H114" s="26" t="s">
        <v>941</v>
      </c>
      <c r="I114" s="32">
        <v>18</v>
      </c>
      <c r="J114" s="2">
        <v>14697.61</v>
      </c>
      <c r="K114" s="4" t="s">
        <v>165</v>
      </c>
      <c r="L114" s="4" t="s">
        <v>66</v>
      </c>
      <c r="M114" s="4" t="s">
        <v>19</v>
      </c>
      <c r="N114" s="5" t="s">
        <v>942</v>
      </c>
      <c r="O114" s="4" t="s">
        <v>27</v>
      </c>
      <c r="P114" s="6">
        <f>IF(Table3[[#This Row],[Payment Status]]="Overdue",1,0)</f>
        <v>0</v>
      </c>
      <c r="Q114" s="11"/>
      <c r="R114" s="4" t="s">
        <v>57</v>
      </c>
      <c r="S114" s="4" t="s">
        <v>41</v>
      </c>
    </row>
    <row r="115" spans="1:19" x14ac:dyDescent="0.3">
      <c r="A115" s="4" t="s">
        <v>837</v>
      </c>
      <c r="B115" s="4" t="s">
        <v>155</v>
      </c>
      <c r="C115" s="26" t="s">
        <v>838</v>
      </c>
      <c r="D115" s="14">
        <v>45469</v>
      </c>
      <c r="E115" s="14">
        <v>45878</v>
      </c>
      <c r="F115" s="17" t="str">
        <f t="shared" si="1"/>
        <v>Jun-2024</v>
      </c>
      <c r="G115" s="2">
        <v>2897.68</v>
      </c>
      <c r="H115" s="26" t="s">
        <v>941</v>
      </c>
      <c r="I115" s="32">
        <v>18</v>
      </c>
      <c r="J115" s="2">
        <v>521.58000000000004</v>
      </c>
      <c r="K115" s="4" t="s">
        <v>97</v>
      </c>
      <c r="L115" s="4" t="s">
        <v>98</v>
      </c>
      <c r="M115" s="4" t="s">
        <v>55</v>
      </c>
      <c r="N115" s="4" t="s">
        <v>80</v>
      </c>
      <c r="O115" s="4" t="s">
        <v>126</v>
      </c>
      <c r="P115" s="6">
        <f>IF(Table3[[#This Row],[Payment Status]]="Overdue",1,0)</f>
        <v>0</v>
      </c>
      <c r="Q115" s="10">
        <v>45916</v>
      </c>
      <c r="R115" s="4" t="s">
        <v>941</v>
      </c>
      <c r="S115" s="4" t="s">
        <v>41</v>
      </c>
    </row>
    <row r="116" spans="1:19" x14ac:dyDescent="0.3">
      <c r="A116" s="4" t="s">
        <v>847</v>
      </c>
      <c r="B116" s="4" t="s">
        <v>50</v>
      </c>
      <c r="C116" s="26" t="s">
        <v>848</v>
      </c>
      <c r="D116" s="14">
        <v>45368</v>
      </c>
      <c r="E116" s="14">
        <v>45715</v>
      </c>
      <c r="F116" s="17" t="str">
        <f t="shared" si="1"/>
        <v>Mar-2024</v>
      </c>
      <c r="G116" s="2">
        <v>29951.96</v>
      </c>
      <c r="H116" s="26" t="s">
        <v>941</v>
      </c>
      <c r="I116" s="32">
        <v>28</v>
      </c>
      <c r="J116" s="2">
        <v>8386.5499999999993</v>
      </c>
      <c r="K116" s="4" t="s">
        <v>106</v>
      </c>
      <c r="L116" s="4" t="s">
        <v>79</v>
      </c>
      <c r="M116" s="4" t="s">
        <v>55</v>
      </c>
      <c r="N116" s="4" t="s">
        <v>80</v>
      </c>
      <c r="O116" s="4" t="s">
        <v>939</v>
      </c>
      <c r="P116" s="6">
        <f>IF(Table3[[#This Row],[Payment Status]]="Overdue",1,0)</f>
        <v>0</v>
      </c>
      <c r="Q116" s="11"/>
      <c r="R116" s="4" t="s">
        <v>20</v>
      </c>
      <c r="S116" s="4" t="s">
        <v>41</v>
      </c>
    </row>
    <row r="117" spans="1:19" x14ac:dyDescent="0.3">
      <c r="A117" s="4" t="s">
        <v>366</v>
      </c>
      <c r="B117" s="4" t="s">
        <v>924</v>
      </c>
      <c r="C117" s="26" t="s">
        <v>367</v>
      </c>
      <c r="D117" s="14">
        <v>45899</v>
      </c>
      <c r="E117" s="22"/>
      <c r="F117" s="18" t="str">
        <f t="shared" si="1"/>
        <v>Aug-2025</v>
      </c>
      <c r="G117" s="2">
        <v>51680.9</v>
      </c>
      <c r="H117" s="26" t="s">
        <v>941</v>
      </c>
      <c r="I117" s="32">
        <v>5</v>
      </c>
      <c r="J117" s="2">
        <v>2584.0500000000002</v>
      </c>
      <c r="K117" s="4" t="s">
        <v>66</v>
      </c>
      <c r="L117" s="4" t="s">
        <v>79</v>
      </c>
      <c r="M117" s="4" t="s">
        <v>19</v>
      </c>
      <c r="N117" s="5" t="s">
        <v>942</v>
      </c>
      <c r="O117" s="4" t="s">
        <v>126</v>
      </c>
      <c r="P117" s="6">
        <f>IF(Table3[[#This Row],[Payment Status]]="Overdue",1,0)</f>
        <v>0</v>
      </c>
      <c r="Q117" s="10">
        <v>45347</v>
      </c>
      <c r="R117" s="4" t="s">
        <v>184</v>
      </c>
      <c r="S117" s="4" t="s">
        <v>85</v>
      </c>
    </row>
    <row r="118" spans="1:19" x14ac:dyDescent="0.3">
      <c r="A118" s="4" t="s">
        <v>775</v>
      </c>
      <c r="B118" s="4" t="s">
        <v>155</v>
      </c>
      <c r="C118" s="26" t="s">
        <v>776</v>
      </c>
      <c r="D118" s="14">
        <v>45466</v>
      </c>
      <c r="E118" s="14">
        <v>45939</v>
      </c>
      <c r="F118" s="17" t="str">
        <f t="shared" si="1"/>
        <v>Jun-2024</v>
      </c>
      <c r="G118" s="2">
        <v>40332.47</v>
      </c>
      <c r="H118" s="26" t="s">
        <v>941</v>
      </c>
      <c r="I118" s="32">
        <v>18</v>
      </c>
      <c r="J118" s="2">
        <v>7259.84</v>
      </c>
      <c r="K118" s="4" t="s">
        <v>230</v>
      </c>
      <c r="L118" s="4" t="s">
        <v>34</v>
      </c>
      <c r="M118" s="4" t="s">
        <v>19</v>
      </c>
      <c r="N118" s="4" t="s">
        <v>35</v>
      </c>
      <c r="O118" s="4" t="s">
        <v>111</v>
      </c>
      <c r="P118" s="6">
        <f>IF(Table3[[#This Row],[Payment Status]]="Overdue",1,0)</f>
        <v>0</v>
      </c>
      <c r="Q118" s="11"/>
      <c r="R118" s="4" t="s">
        <v>20</v>
      </c>
      <c r="S118" s="4" t="s">
        <v>67</v>
      </c>
    </row>
    <row r="119" spans="1:19" x14ac:dyDescent="0.3">
      <c r="A119" s="4" t="s">
        <v>544</v>
      </c>
      <c r="B119" s="4" t="s">
        <v>22</v>
      </c>
      <c r="C119" s="26" t="s">
        <v>545</v>
      </c>
      <c r="D119" s="14">
        <v>45558</v>
      </c>
      <c r="E119" s="14">
        <v>45644</v>
      </c>
      <c r="F119" s="17" t="str">
        <f t="shared" si="1"/>
        <v>Sep-2024</v>
      </c>
      <c r="G119" s="2">
        <v>82514.36</v>
      </c>
      <c r="H119" s="26" t="s">
        <v>941</v>
      </c>
      <c r="I119" s="32">
        <v>28</v>
      </c>
      <c r="J119" s="2">
        <v>23104.02</v>
      </c>
      <c r="K119" s="4" t="s">
        <v>73</v>
      </c>
      <c r="L119" s="4" t="s">
        <v>45</v>
      </c>
      <c r="M119" s="4" t="s">
        <v>39</v>
      </c>
      <c r="N119" s="4" t="s">
        <v>91</v>
      </c>
      <c r="O119" s="4" t="s">
        <v>939</v>
      </c>
      <c r="P119" s="6">
        <f>IF(Table3[[#This Row],[Payment Status]]="Overdue",1,0)</f>
        <v>0</v>
      </c>
      <c r="Q119" s="11"/>
      <c r="R119" s="4" t="s">
        <v>20</v>
      </c>
      <c r="S119" s="4" t="s">
        <v>29</v>
      </c>
    </row>
    <row r="120" spans="1:19" x14ac:dyDescent="0.3">
      <c r="A120" s="4" t="s">
        <v>761</v>
      </c>
      <c r="B120" s="4" t="s">
        <v>153</v>
      </c>
      <c r="C120" s="26" t="s">
        <v>762</v>
      </c>
      <c r="D120" s="14">
        <v>45731</v>
      </c>
      <c r="E120" s="22"/>
      <c r="F120" s="18" t="str">
        <f t="shared" si="1"/>
        <v>Mar-2025</v>
      </c>
      <c r="G120" s="2">
        <v>10856.88</v>
      </c>
      <c r="H120" s="26" t="s">
        <v>941</v>
      </c>
      <c r="I120" s="32">
        <v>18</v>
      </c>
      <c r="J120" s="2">
        <v>1954.24</v>
      </c>
      <c r="K120" s="4" t="s">
        <v>97</v>
      </c>
      <c r="L120" s="4" t="s">
        <v>60</v>
      </c>
      <c r="M120" s="4" t="s">
        <v>39</v>
      </c>
      <c r="N120" s="4" t="s">
        <v>100</v>
      </c>
      <c r="O120" s="4" t="s">
        <v>92</v>
      </c>
      <c r="P120" s="6">
        <f>IF(Table3[[#This Row],[Payment Status]]="Overdue",1,0)</f>
        <v>1</v>
      </c>
      <c r="Q120" s="11"/>
      <c r="R120" s="4" t="s">
        <v>57</v>
      </c>
      <c r="S120" s="4" t="s">
        <v>88</v>
      </c>
    </row>
    <row r="121" spans="1:19" x14ac:dyDescent="0.3">
      <c r="A121" s="4" t="s">
        <v>517</v>
      </c>
      <c r="B121" s="4" t="s">
        <v>50</v>
      </c>
      <c r="C121" s="26" t="s">
        <v>518</v>
      </c>
      <c r="D121" s="14">
        <v>45716</v>
      </c>
      <c r="E121" s="14">
        <v>45836</v>
      </c>
      <c r="F121" s="17" t="str">
        <f t="shared" si="1"/>
        <v>Feb-2025</v>
      </c>
      <c r="G121" s="2">
        <v>50036.21</v>
      </c>
      <c r="H121" s="26" t="s">
        <v>941</v>
      </c>
      <c r="I121" s="32">
        <v>0</v>
      </c>
      <c r="J121" s="2">
        <v>0</v>
      </c>
      <c r="K121" s="4" t="s">
        <v>165</v>
      </c>
      <c r="L121" s="4" t="s">
        <v>79</v>
      </c>
      <c r="M121" s="8" t="s">
        <v>941</v>
      </c>
      <c r="N121" s="5" t="s">
        <v>942</v>
      </c>
      <c r="O121" s="4" t="s">
        <v>111</v>
      </c>
      <c r="P121" s="6">
        <f>IF(Table3[[#This Row],[Payment Status]]="Overdue",1,0)</f>
        <v>0</v>
      </c>
      <c r="R121" s="4" t="s">
        <v>40</v>
      </c>
      <c r="S121" s="4" t="s">
        <v>67</v>
      </c>
    </row>
    <row r="122" spans="1:19" x14ac:dyDescent="0.3">
      <c r="A122" s="4" t="s">
        <v>546</v>
      </c>
      <c r="B122" s="4" t="s">
        <v>31</v>
      </c>
      <c r="C122" s="26" t="s">
        <v>547</v>
      </c>
      <c r="D122" s="14">
        <v>45778</v>
      </c>
      <c r="E122" s="14">
        <v>45802</v>
      </c>
      <c r="F122" s="17" t="str">
        <f t="shared" si="1"/>
        <v>May-2025</v>
      </c>
      <c r="G122" s="2">
        <v>1866.76</v>
      </c>
      <c r="H122" s="26" t="s">
        <v>941</v>
      </c>
      <c r="I122" s="32">
        <v>28</v>
      </c>
      <c r="J122" s="2">
        <v>522.69000000000005</v>
      </c>
      <c r="K122" s="5" t="s">
        <v>66</v>
      </c>
      <c r="L122" s="4" t="s">
        <v>66</v>
      </c>
      <c r="M122" s="4" t="s">
        <v>25</v>
      </c>
      <c r="N122" s="5" t="s">
        <v>942</v>
      </c>
      <c r="O122" s="4" t="s">
        <v>27</v>
      </c>
      <c r="P122" s="6">
        <f>IF(Table3[[#This Row],[Payment Status]]="Overdue",1,0)</f>
        <v>0</v>
      </c>
      <c r="Q122" s="11"/>
      <c r="R122" s="4" t="s">
        <v>184</v>
      </c>
      <c r="S122" s="4" t="s">
        <v>63</v>
      </c>
    </row>
    <row r="123" spans="1:19" x14ac:dyDescent="0.3">
      <c r="A123" s="4" t="s">
        <v>494</v>
      </c>
      <c r="B123" s="4" t="s">
        <v>197</v>
      </c>
      <c r="C123" s="26" t="s">
        <v>495</v>
      </c>
      <c r="D123" s="14">
        <v>45454</v>
      </c>
      <c r="E123" s="14">
        <v>45951</v>
      </c>
      <c r="F123" s="17" t="str">
        <f t="shared" si="1"/>
        <v>Jun-2024</v>
      </c>
      <c r="G123" s="2">
        <v>34377.230000000003</v>
      </c>
      <c r="H123" s="26" t="s">
        <v>941</v>
      </c>
      <c r="I123" s="32">
        <v>18</v>
      </c>
      <c r="J123" s="2">
        <v>6187.9</v>
      </c>
      <c r="K123" s="4" t="s">
        <v>106</v>
      </c>
      <c r="L123" s="4" t="s">
        <v>66</v>
      </c>
      <c r="M123" s="4" t="s">
        <v>55</v>
      </c>
      <c r="N123" s="4" t="s">
        <v>35</v>
      </c>
      <c r="O123" s="4" t="s">
        <v>27</v>
      </c>
      <c r="P123" s="6">
        <f>IF(Table3[[#This Row],[Payment Status]]="Overdue",1,0)</f>
        <v>0</v>
      </c>
      <c r="Q123" s="11"/>
      <c r="R123" s="4" t="s">
        <v>36</v>
      </c>
      <c r="S123" s="4" t="s">
        <v>41</v>
      </c>
    </row>
    <row r="124" spans="1:19" x14ac:dyDescent="0.3">
      <c r="A124" s="4" t="s">
        <v>380</v>
      </c>
      <c r="B124" s="4" t="s">
        <v>924</v>
      </c>
      <c r="C124" s="26" t="s">
        <v>381</v>
      </c>
      <c r="D124" s="14">
        <v>45473</v>
      </c>
      <c r="E124" s="14">
        <v>45888</v>
      </c>
      <c r="F124" s="17" t="str">
        <f t="shared" si="1"/>
        <v>Jun-2024</v>
      </c>
      <c r="G124" s="2">
        <v>49946.79</v>
      </c>
      <c r="H124" s="26" t="s">
        <v>941</v>
      </c>
      <c r="I124" s="32">
        <v>18</v>
      </c>
      <c r="J124" s="2">
        <v>8990.42</v>
      </c>
      <c r="K124" s="4" t="s">
        <v>143</v>
      </c>
      <c r="L124" s="4" t="s">
        <v>98</v>
      </c>
      <c r="M124" s="4" t="s">
        <v>941</v>
      </c>
      <c r="N124" s="5" t="s">
        <v>942</v>
      </c>
      <c r="O124" s="4" t="s">
        <v>939</v>
      </c>
      <c r="P124" s="6">
        <f>IF(Table3[[#This Row],[Payment Status]]="Overdue",1,0)</f>
        <v>0</v>
      </c>
      <c r="Q124" s="11"/>
      <c r="R124" s="4" t="s">
        <v>62</v>
      </c>
      <c r="S124" s="4" t="s">
        <v>41</v>
      </c>
    </row>
    <row r="125" spans="1:19" x14ac:dyDescent="0.3">
      <c r="A125" s="4" t="s">
        <v>343</v>
      </c>
      <c r="B125" s="4" t="s">
        <v>630</v>
      </c>
      <c r="C125" s="26" t="s">
        <v>344</v>
      </c>
      <c r="D125" s="14">
        <v>45300</v>
      </c>
      <c r="E125" s="14">
        <v>45376</v>
      </c>
      <c r="F125" s="17" t="str">
        <f t="shared" si="1"/>
        <v>Jan-2024</v>
      </c>
      <c r="G125" s="2">
        <v>68461.509999999995</v>
      </c>
      <c r="H125" s="26" t="s">
        <v>941</v>
      </c>
      <c r="I125" s="32">
        <v>18</v>
      </c>
      <c r="J125" s="2">
        <v>12323.07</v>
      </c>
      <c r="K125" s="4" t="s">
        <v>73</v>
      </c>
      <c r="L125" s="4" t="s">
        <v>79</v>
      </c>
      <c r="M125" s="4" t="s">
        <v>61</v>
      </c>
      <c r="N125" s="5" t="s">
        <v>942</v>
      </c>
      <c r="O125" s="4" t="s">
        <v>126</v>
      </c>
      <c r="P125" s="6">
        <f>IF(Table3[[#This Row],[Payment Status]]="Overdue",1,0)</f>
        <v>0</v>
      </c>
      <c r="Q125" s="10">
        <v>45341</v>
      </c>
      <c r="R125" s="4" t="s">
        <v>20</v>
      </c>
      <c r="S125" s="4" t="s">
        <v>41</v>
      </c>
    </row>
    <row r="126" spans="1:19" x14ac:dyDescent="0.3">
      <c r="A126" s="4" t="s">
        <v>292</v>
      </c>
      <c r="B126" s="4" t="s">
        <v>311</v>
      </c>
      <c r="C126" s="26" t="s">
        <v>293</v>
      </c>
      <c r="D126" s="14">
        <v>45445</v>
      </c>
      <c r="E126" s="14">
        <v>45786</v>
      </c>
      <c r="F126" s="17" t="str">
        <f t="shared" si="1"/>
        <v>Jun-2024</v>
      </c>
      <c r="G126" s="2">
        <v>76488.45</v>
      </c>
      <c r="H126" s="26" t="s">
        <v>941</v>
      </c>
      <c r="I126" s="32">
        <v>18</v>
      </c>
      <c r="J126" s="2">
        <v>13767.92</v>
      </c>
      <c r="K126" s="4" t="s">
        <v>66</v>
      </c>
      <c r="L126" s="4" t="s">
        <v>79</v>
      </c>
      <c r="M126" s="4" t="s">
        <v>55</v>
      </c>
      <c r="N126" s="5" t="s">
        <v>942</v>
      </c>
      <c r="O126" s="4" t="s">
        <v>92</v>
      </c>
      <c r="P126" s="6">
        <f>IF(Table3[[#This Row],[Payment Status]]="Overdue",1,0)</f>
        <v>1</v>
      </c>
      <c r="Q126" s="11"/>
      <c r="R126" s="4" t="s">
        <v>20</v>
      </c>
      <c r="S126" s="5" t="s">
        <v>941</v>
      </c>
    </row>
    <row r="127" spans="1:19" x14ac:dyDescent="0.3">
      <c r="A127" s="4" t="s">
        <v>492</v>
      </c>
      <c r="B127" s="4" t="s">
        <v>206</v>
      </c>
      <c r="C127" s="26" t="s">
        <v>493</v>
      </c>
      <c r="D127" s="14">
        <v>45540</v>
      </c>
      <c r="F127" s="17" t="str">
        <f t="shared" si="1"/>
        <v>Sep-2024</v>
      </c>
      <c r="G127" s="2">
        <v>15519.38</v>
      </c>
      <c r="H127" s="26" t="s">
        <v>941</v>
      </c>
      <c r="I127" s="32">
        <v>18</v>
      </c>
      <c r="J127" s="2">
        <v>2793.49</v>
      </c>
      <c r="K127" s="4" t="s">
        <v>97</v>
      </c>
      <c r="L127" s="4" t="s">
        <v>98</v>
      </c>
      <c r="M127" s="4" t="s">
        <v>25</v>
      </c>
      <c r="N127" s="4" t="s">
        <v>91</v>
      </c>
      <c r="O127" s="4" t="s">
        <v>27</v>
      </c>
      <c r="P127" s="6">
        <f>IF(Table3[[#This Row],[Payment Status]]="Overdue",1,0)</f>
        <v>0</v>
      </c>
      <c r="Q127" s="11"/>
      <c r="R127" s="4" t="s">
        <v>62</v>
      </c>
      <c r="S127" s="4" t="s">
        <v>41</v>
      </c>
    </row>
    <row r="128" spans="1:19" x14ac:dyDescent="0.3">
      <c r="A128" s="4" t="s">
        <v>639</v>
      </c>
      <c r="B128" s="4" t="s">
        <v>924</v>
      </c>
      <c r="C128" s="26" t="s">
        <v>640</v>
      </c>
      <c r="D128" s="14">
        <v>45735</v>
      </c>
      <c r="E128" s="14">
        <v>45775</v>
      </c>
      <c r="F128" s="17" t="str">
        <f t="shared" si="1"/>
        <v>Mar-2025</v>
      </c>
      <c r="G128" s="2">
        <v>10316.379999999999</v>
      </c>
      <c r="H128" s="26" t="s">
        <v>941</v>
      </c>
      <c r="I128" s="32">
        <v>18</v>
      </c>
      <c r="J128" s="2">
        <v>1856.95</v>
      </c>
      <c r="K128" s="4" t="s">
        <v>33</v>
      </c>
      <c r="L128" s="4" t="s">
        <v>66</v>
      </c>
      <c r="M128" s="4" t="s">
        <v>55</v>
      </c>
      <c r="N128" s="4" t="s">
        <v>80</v>
      </c>
      <c r="O128" s="4" t="s">
        <v>27</v>
      </c>
      <c r="P128" s="6">
        <f>IF(Table3[[#This Row],[Payment Status]]="Overdue",1,0)</f>
        <v>0</v>
      </c>
      <c r="Q128" s="11"/>
      <c r="R128" s="4" t="s">
        <v>28</v>
      </c>
      <c r="S128" s="4" t="s">
        <v>67</v>
      </c>
    </row>
    <row r="129" spans="1:19" x14ac:dyDescent="0.3">
      <c r="A129" s="4" t="s">
        <v>16</v>
      </c>
      <c r="B129" s="4" t="s">
        <v>630</v>
      </c>
      <c r="C129" s="26" t="s">
        <v>17</v>
      </c>
      <c r="D129" s="14">
        <v>45454</v>
      </c>
      <c r="E129" s="14">
        <v>45777</v>
      </c>
      <c r="F129" s="17" t="str">
        <f t="shared" si="1"/>
        <v>Jun-2024</v>
      </c>
      <c r="G129" s="2">
        <v>11130.1</v>
      </c>
      <c r="H129" s="26" t="s">
        <v>941</v>
      </c>
      <c r="I129" s="32">
        <v>18</v>
      </c>
      <c r="J129" s="2">
        <v>2003.42</v>
      </c>
      <c r="K129" s="4" t="s">
        <v>106</v>
      </c>
      <c r="L129" s="4" t="s">
        <v>940</v>
      </c>
      <c r="M129" s="4" t="s">
        <v>19</v>
      </c>
      <c r="N129" s="5" t="s">
        <v>942</v>
      </c>
      <c r="O129" s="6" t="s">
        <v>941</v>
      </c>
      <c r="P129" s="6">
        <f>IF(Table3[[#This Row],[Payment Status]]="Overdue",1,0)</f>
        <v>0</v>
      </c>
      <c r="Q129" s="11"/>
      <c r="R129" s="4" t="s">
        <v>20</v>
      </c>
      <c r="S129" s="4" t="s">
        <v>63</v>
      </c>
    </row>
    <row r="130" spans="1:19" x14ac:dyDescent="0.3">
      <c r="A130" s="4" t="s">
        <v>21</v>
      </c>
      <c r="B130" s="4" t="s">
        <v>22</v>
      </c>
      <c r="C130" s="26" t="s">
        <v>23</v>
      </c>
      <c r="D130" s="14">
        <v>45338</v>
      </c>
      <c r="E130" s="14">
        <v>45425</v>
      </c>
      <c r="F130" s="17" t="str">
        <f t="shared" ref="F130:F193" si="2">TEXT(D130,"mmm-yyyy")</f>
        <v>Feb-2024</v>
      </c>
      <c r="G130" s="2">
        <v>38835.35</v>
      </c>
      <c r="H130" s="26" t="s">
        <v>941</v>
      </c>
      <c r="I130" s="32">
        <v>18</v>
      </c>
      <c r="J130" s="2">
        <v>6990.36</v>
      </c>
      <c r="K130" s="4" t="s">
        <v>165</v>
      </c>
      <c r="L130" s="4" t="s">
        <v>24</v>
      </c>
      <c r="M130" s="4" t="s">
        <v>25</v>
      </c>
      <c r="N130" s="4" t="s">
        <v>26</v>
      </c>
      <c r="O130" s="4" t="s">
        <v>27</v>
      </c>
      <c r="P130" s="6">
        <f>IF(Table3[[#This Row],[Payment Status]]="Overdue",1,0)</f>
        <v>0</v>
      </c>
      <c r="Q130" s="11"/>
      <c r="R130" s="4" t="s">
        <v>28</v>
      </c>
      <c r="S130" s="4" t="s">
        <v>29</v>
      </c>
    </row>
    <row r="131" spans="1:19" x14ac:dyDescent="0.3">
      <c r="A131" s="4" t="s">
        <v>685</v>
      </c>
      <c r="B131" s="4" t="s">
        <v>141</v>
      </c>
      <c r="C131" s="26" t="s">
        <v>686</v>
      </c>
      <c r="D131" s="14">
        <v>45516</v>
      </c>
      <c r="E131" s="14">
        <v>45664</v>
      </c>
      <c r="F131" s="17" t="str">
        <f t="shared" si="2"/>
        <v>Aug-2024</v>
      </c>
      <c r="G131" s="2">
        <v>84548.62</v>
      </c>
      <c r="H131" s="26" t="s">
        <v>941</v>
      </c>
      <c r="I131" s="32">
        <v>0</v>
      </c>
      <c r="J131" s="2">
        <v>0</v>
      </c>
      <c r="K131" s="4" t="s">
        <v>73</v>
      </c>
      <c r="L131" s="4" t="s">
        <v>70</v>
      </c>
      <c r="M131" s="4" t="s">
        <v>941</v>
      </c>
      <c r="N131" s="4" t="s">
        <v>35</v>
      </c>
      <c r="O131" s="6" t="s">
        <v>941</v>
      </c>
      <c r="P131" s="6">
        <f>IF(Table3[[#This Row],[Payment Status]]="Overdue",1,0)</f>
        <v>0</v>
      </c>
      <c r="Q131" s="11"/>
      <c r="R131" s="4" t="s">
        <v>20</v>
      </c>
      <c r="S131" s="4" t="s">
        <v>41</v>
      </c>
    </row>
    <row r="132" spans="1:19" x14ac:dyDescent="0.3">
      <c r="A132" s="4" t="s">
        <v>477</v>
      </c>
      <c r="B132" s="4" t="s">
        <v>923</v>
      </c>
      <c r="C132" s="26" t="s">
        <v>478</v>
      </c>
      <c r="D132" s="14">
        <v>45783</v>
      </c>
      <c r="E132" s="14">
        <v>45924</v>
      </c>
      <c r="F132" s="17" t="str">
        <f t="shared" si="2"/>
        <v>May-2025</v>
      </c>
      <c r="G132" s="2">
        <v>66736.89</v>
      </c>
      <c r="H132" s="26" t="s">
        <v>941</v>
      </c>
      <c r="I132" s="32">
        <v>28</v>
      </c>
      <c r="J132" s="2">
        <v>18686.330000000002</v>
      </c>
      <c r="K132" s="4" t="s">
        <v>53</v>
      </c>
      <c r="L132" s="4" t="s">
        <v>24</v>
      </c>
      <c r="M132" s="4" t="s">
        <v>25</v>
      </c>
      <c r="N132" s="4" t="s">
        <v>100</v>
      </c>
      <c r="O132" s="4" t="s">
        <v>27</v>
      </c>
      <c r="P132" s="6">
        <f>IF(Table3[[#This Row],[Payment Status]]="Overdue",1,0)</f>
        <v>0</v>
      </c>
      <c r="R132" s="4" t="s">
        <v>184</v>
      </c>
      <c r="S132" s="4" t="s">
        <v>63</v>
      </c>
    </row>
    <row r="133" spans="1:19" x14ac:dyDescent="0.3">
      <c r="A133" s="4" t="s">
        <v>839</v>
      </c>
      <c r="B133" s="4" t="s">
        <v>923</v>
      </c>
      <c r="C133" s="26" t="s">
        <v>840</v>
      </c>
      <c r="D133" s="14">
        <v>45465</v>
      </c>
      <c r="E133" s="14">
        <v>45528</v>
      </c>
      <c r="F133" s="17" t="str">
        <f t="shared" si="2"/>
        <v>Jun-2024</v>
      </c>
      <c r="G133" s="2">
        <v>22561.01</v>
      </c>
      <c r="H133" s="26" t="s">
        <v>941</v>
      </c>
      <c r="I133" s="32">
        <v>28</v>
      </c>
      <c r="J133" s="2">
        <v>6317.08</v>
      </c>
      <c r="K133" s="4" t="s">
        <v>97</v>
      </c>
      <c r="L133" s="4" t="s">
        <v>60</v>
      </c>
      <c r="M133" s="4" t="s">
        <v>19</v>
      </c>
      <c r="N133" s="5" t="s">
        <v>942</v>
      </c>
      <c r="O133" s="4" t="s">
        <v>126</v>
      </c>
      <c r="P133" s="6">
        <f>IF(Table3[[#This Row],[Payment Status]]="Overdue",1,0)</f>
        <v>0</v>
      </c>
      <c r="Q133" s="10">
        <v>45589</v>
      </c>
      <c r="R133" s="4" t="s">
        <v>941</v>
      </c>
      <c r="S133" s="4" t="s">
        <v>63</v>
      </c>
    </row>
    <row r="134" spans="1:19" x14ac:dyDescent="0.3">
      <c r="A134" s="4" t="s">
        <v>432</v>
      </c>
      <c r="B134" s="4" t="s">
        <v>141</v>
      </c>
      <c r="C134" s="26" t="s">
        <v>433</v>
      </c>
      <c r="D134" s="14">
        <v>45713</v>
      </c>
      <c r="E134" s="22"/>
      <c r="F134" s="18" t="str">
        <f t="shared" si="2"/>
        <v>Feb-2025</v>
      </c>
      <c r="G134" s="2">
        <v>68021.440000000002</v>
      </c>
      <c r="H134" s="26" t="s">
        <v>941</v>
      </c>
      <c r="I134" s="32">
        <v>0</v>
      </c>
      <c r="J134" s="2">
        <v>0</v>
      </c>
      <c r="K134" s="4" t="s">
        <v>165</v>
      </c>
      <c r="L134" s="4" t="s">
        <v>45</v>
      </c>
      <c r="M134" s="4" t="s">
        <v>61</v>
      </c>
      <c r="N134" s="4" t="s">
        <v>56</v>
      </c>
      <c r="O134" s="6" t="s">
        <v>941</v>
      </c>
      <c r="P134" s="6">
        <f>IF(Table3[[#This Row],[Payment Status]]="Overdue",1,0)</f>
        <v>0</v>
      </c>
      <c r="Q134" s="11"/>
      <c r="R134" s="4" t="s">
        <v>184</v>
      </c>
      <c r="S134" s="5" t="s">
        <v>941</v>
      </c>
    </row>
    <row r="135" spans="1:19" x14ac:dyDescent="0.3">
      <c r="A135" s="4" t="s">
        <v>266</v>
      </c>
      <c r="B135" s="4" t="s">
        <v>128</v>
      </c>
      <c r="C135" s="26" t="s">
        <v>267</v>
      </c>
      <c r="D135" s="14">
        <v>45557</v>
      </c>
      <c r="E135" s="14">
        <v>45791</v>
      </c>
      <c r="F135" s="17" t="str">
        <f t="shared" si="2"/>
        <v>Sep-2024</v>
      </c>
      <c r="G135" s="2">
        <v>37542.370000000003</v>
      </c>
      <c r="H135" s="26" t="s">
        <v>941</v>
      </c>
      <c r="I135" s="32">
        <v>0</v>
      </c>
      <c r="J135" s="2">
        <v>0</v>
      </c>
      <c r="K135" s="4" t="s">
        <v>230</v>
      </c>
      <c r="L135" s="4" t="s">
        <v>54</v>
      </c>
      <c r="M135" s="4" t="s">
        <v>55</v>
      </c>
      <c r="N135" s="4" t="s">
        <v>117</v>
      </c>
      <c r="O135" s="6" t="s">
        <v>941</v>
      </c>
      <c r="P135" s="6">
        <f>IF(Table3[[#This Row],[Payment Status]]="Overdue",1,0)</f>
        <v>0</v>
      </c>
      <c r="Q135" s="11"/>
      <c r="R135" s="4" t="s">
        <v>36</v>
      </c>
      <c r="S135" s="4" t="s">
        <v>41</v>
      </c>
    </row>
    <row r="136" spans="1:19" x14ac:dyDescent="0.3">
      <c r="A136" s="4" t="s">
        <v>585</v>
      </c>
      <c r="B136" s="4" t="s">
        <v>630</v>
      </c>
      <c r="C136" s="26" t="s">
        <v>586</v>
      </c>
      <c r="D136" s="14">
        <v>45920</v>
      </c>
      <c r="E136" s="22"/>
      <c r="F136" s="18" t="str">
        <f t="shared" si="2"/>
        <v>Sep-2025</v>
      </c>
      <c r="G136" s="2">
        <v>6502.32</v>
      </c>
      <c r="H136" s="26" t="s">
        <v>941</v>
      </c>
      <c r="I136" s="32">
        <v>0</v>
      </c>
      <c r="J136" s="2">
        <v>0</v>
      </c>
      <c r="K136" s="4" t="s">
        <v>73</v>
      </c>
      <c r="L136" s="4" t="s">
        <v>66</v>
      </c>
      <c r="M136" s="4" t="s">
        <v>19</v>
      </c>
      <c r="N136" s="4" t="s">
        <v>100</v>
      </c>
      <c r="O136" s="4" t="s">
        <v>111</v>
      </c>
      <c r="P136" s="6">
        <f>IF(Table3[[#This Row],[Payment Status]]="Overdue",1,0)</f>
        <v>0</v>
      </c>
      <c r="Q136" s="11"/>
      <c r="R136" s="4" t="s">
        <v>184</v>
      </c>
      <c r="S136" s="4" t="s">
        <v>63</v>
      </c>
    </row>
    <row r="137" spans="1:19" x14ac:dyDescent="0.3">
      <c r="A137" s="4" t="s">
        <v>261</v>
      </c>
      <c r="B137" s="4" t="s">
        <v>155</v>
      </c>
      <c r="C137" s="26" t="s">
        <v>262</v>
      </c>
      <c r="D137" s="14">
        <v>45385</v>
      </c>
      <c r="E137" s="14">
        <v>45838</v>
      </c>
      <c r="F137" s="17" t="str">
        <f t="shared" si="2"/>
        <v>Apr-2024</v>
      </c>
      <c r="G137" s="2">
        <v>54245.11</v>
      </c>
      <c r="H137" s="26" t="s">
        <v>941</v>
      </c>
      <c r="I137" s="32">
        <v>18</v>
      </c>
      <c r="J137" s="2">
        <v>9764.1200000000008</v>
      </c>
      <c r="K137" s="4" t="s">
        <v>73</v>
      </c>
      <c r="L137" s="4" t="s">
        <v>940</v>
      </c>
      <c r="M137" s="4" t="s">
        <v>941</v>
      </c>
      <c r="N137" s="4" t="s">
        <v>80</v>
      </c>
      <c r="O137" s="4" t="s">
        <v>92</v>
      </c>
      <c r="P137" s="6">
        <f>IF(Table3[[#This Row],[Payment Status]]="Overdue",1,0)</f>
        <v>1</v>
      </c>
      <c r="Q137" s="11"/>
      <c r="R137" s="4" t="s">
        <v>184</v>
      </c>
      <c r="S137" s="4" t="s">
        <v>63</v>
      </c>
    </row>
    <row r="138" spans="1:19" x14ac:dyDescent="0.3">
      <c r="A138" s="4" t="s">
        <v>536</v>
      </c>
      <c r="B138" s="4" t="s">
        <v>206</v>
      </c>
      <c r="C138" s="26" t="s">
        <v>537</v>
      </c>
      <c r="D138" s="14">
        <v>45400</v>
      </c>
      <c r="E138" s="14">
        <v>45955</v>
      </c>
      <c r="F138" s="17" t="str">
        <f t="shared" si="2"/>
        <v>Apr-2024</v>
      </c>
      <c r="G138" s="2">
        <v>41932.019999999997</v>
      </c>
      <c r="H138" s="26" t="s">
        <v>941</v>
      </c>
      <c r="I138" s="32">
        <v>18</v>
      </c>
      <c r="J138" s="2">
        <v>7547.76</v>
      </c>
      <c r="K138" s="4" t="s">
        <v>143</v>
      </c>
      <c r="L138" s="4" t="s">
        <v>66</v>
      </c>
      <c r="M138" s="4" t="s">
        <v>55</v>
      </c>
      <c r="N138" s="4" t="s">
        <v>80</v>
      </c>
      <c r="O138" s="4" t="s">
        <v>126</v>
      </c>
      <c r="P138" s="6">
        <f>IF(Table3[[#This Row],[Payment Status]]="Overdue",1,0)</f>
        <v>0</v>
      </c>
      <c r="Q138" s="10">
        <v>45462</v>
      </c>
      <c r="R138" s="4" t="s">
        <v>184</v>
      </c>
      <c r="S138" s="5" t="s">
        <v>941</v>
      </c>
    </row>
    <row r="139" spans="1:19" x14ac:dyDescent="0.3">
      <c r="A139" s="4" t="s">
        <v>763</v>
      </c>
      <c r="B139" s="4" t="s">
        <v>50</v>
      </c>
      <c r="C139" s="26" t="s">
        <v>764</v>
      </c>
      <c r="D139" s="14">
        <v>45619</v>
      </c>
      <c r="E139" s="14">
        <v>45891</v>
      </c>
      <c r="F139" s="17" t="str">
        <f t="shared" si="2"/>
        <v>Nov-2024</v>
      </c>
      <c r="G139" s="2">
        <v>66424.77</v>
      </c>
      <c r="H139" s="26" t="s">
        <v>941</v>
      </c>
      <c r="I139" s="32">
        <v>5</v>
      </c>
      <c r="J139" s="2">
        <v>3321.24</v>
      </c>
      <c r="K139" s="4" t="s">
        <v>165</v>
      </c>
      <c r="L139" s="4" t="s">
        <v>34</v>
      </c>
      <c r="M139" s="4" t="s">
        <v>25</v>
      </c>
      <c r="N139" s="4" t="s">
        <v>35</v>
      </c>
      <c r="O139" s="4" t="s">
        <v>92</v>
      </c>
      <c r="P139" s="6">
        <f>IF(Table3[[#This Row],[Payment Status]]="Overdue",1,0)</f>
        <v>1</v>
      </c>
      <c r="Q139" s="11"/>
      <c r="R139" s="4" t="s">
        <v>62</v>
      </c>
      <c r="S139" s="4" t="s">
        <v>67</v>
      </c>
    </row>
    <row r="140" spans="1:19" x14ac:dyDescent="0.3">
      <c r="A140" s="4" t="s">
        <v>362</v>
      </c>
      <c r="B140" s="4" t="s">
        <v>47</v>
      </c>
      <c r="C140" s="26" t="s">
        <v>363</v>
      </c>
      <c r="D140" s="14">
        <v>45430</v>
      </c>
      <c r="E140" s="14">
        <v>45858</v>
      </c>
      <c r="F140" s="17" t="str">
        <f t="shared" si="2"/>
        <v>May-2024</v>
      </c>
      <c r="G140" s="2">
        <v>17944.12</v>
      </c>
      <c r="H140" s="26" t="s">
        <v>941</v>
      </c>
      <c r="I140" s="32">
        <v>18</v>
      </c>
      <c r="J140" s="2">
        <v>3229.94</v>
      </c>
      <c r="K140" s="4" t="s">
        <v>230</v>
      </c>
      <c r="L140" s="4" t="s">
        <v>60</v>
      </c>
      <c r="M140" s="4" t="s">
        <v>39</v>
      </c>
      <c r="N140" s="5" t="s">
        <v>942</v>
      </c>
      <c r="O140" s="4" t="s">
        <v>111</v>
      </c>
      <c r="P140" s="6">
        <f>IF(Table3[[#This Row],[Payment Status]]="Overdue",1,0)</f>
        <v>0</v>
      </c>
      <c r="Q140" s="11"/>
      <c r="R140" s="4" t="s">
        <v>40</v>
      </c>
      <c r="S140" s="4" t="s">
        <v>41</v>
      </c>
    </row>
    <row r="141" spans="1:19" x14ac:dyDescent="0.3">
      <c r="A141" s="4" t="s">
        <v>647</v>
      </c>
      <c r="B141" s="4" t="s">
        <v>190</v>
      </c>
      <c r="C141" s="26" t="s">
        <v>648</v>
      </c>
      <c r="D141" s="14">
        <v>45495</v>
      </c>
      <c r="F141" s="17" t="str">
        <f t="shared" si="2"/>
        <v>Jul-2024</v>
      </c>
      <c r="G141" s="2">
        <v>22803.11</v>
      </c>
      <c r="H141" s="26" t="s">
        <v>941</v>
      </c>
      <c r="I141" s="32">
        <v>18</v>
      </c>
      <c r="J141" s="2">
        <v>4104.5600000000004</v>
      </c>
      <c r="K141" s="4" t="s">
        <v>44</v>
      </c>
      <c r="L141" s="4" t="s">
        <v>24</v>
      </c>
      <c r="M141" s="4" t="s">
        <v>39</v>
      </c>
      <c r="N141" s="5" t="s">
        <v>942</v>
      </c>
      <c r="O141" s="4" t="s">
        <v>126</v>
      </c>
      <c r="P141" s="6">
        <f>IF(Table3[[#This Row],[Payment Status]]="Overdue",1,0)</f>
        <v>0</v>
      </c>
      <c r="Q141" s="10">
        <v>45400</v>
      </c>
      <c r="R141" s="4" t="s">
        <v>40</v>
      </c>
      <c r="S141" s="4" t="s">
        <v>85</v>
      </c>
    </row>
    <row r="142" spans="1:19" x14ac:dyDescent="0.3">
      <c r="A142" s="4" t="s">
        <v>895</v>
      </c>
      <c r="B142" s="4" t="s">
        <v>47</v>
      </c>
      <c r="C142" s="26" t="s">
        <v>896</v>
      </c>
      <c r="D142" s="14">
        <v>45894</v>
      </c>
      <c r="F142" s="17" t="str">
        <f t="shared" si="2"/>
        <v>Aug-2025</v>
      </c>
      <c r="G142" s="2">
        <v>17381.95</v>
      </c>
      <c r="H142" s="26" t="s">
        <v>941</v>
      </c>
      <c r="I142" s="32">
        <v>18</v>
      </c>
      <c r="J142" s="2">
        <v>3128.75</v>
      </c>
      <c r="K142" s="4" t="s">
        <v>44</v>
      </c>
      <c r="L142" s="4" t="s">
        <v>45</v>
      </c>
      <c r="M142" s="4" t="s">
        <v>25</v>
      </c>
      <c r="N142" s="4" t="s">
        <v>56</v>
      </c>
      <c r="O142" s="4" t="s">
        <v>939</v>
      </c>
      <c r="P142" s="6">
        <f>IF(Table3[[#This Row],[Payment Status]]="Overdue",1,0)</f>
        <v>0</v>
      </c>
      <c r="Q142" s="11"/>
      <c r="R142" s="4" t="s">
        <v>184</v>
      </c>
      <c r="S142" s="4" t="s">
        <v>63</v>
      </c>
    </row>
    <row r="143" spans="1:19" x14ac:dyDescent="0.3">
      <c r="A143" s="4" t="s">
        <v>71</v>
      </c>
      <c r="B143" s="4" t="s">
        <v>128</v>
      </c>
      <c r="C143" s="27"/>
      <c r="D143" s="14">
        <v>45645</v>
      </c>
      <c r="E143" s="14">
        <v>45890</v>
      </c>
      <c r="F143" s="17" t="str">
        <f t="shared" si="2"/>
        <v>Dec-2024</v>
      </c>
      <c r="G143" s="2">
        <v>28198.25</v>
      </c>
      <c r="H143" s="26" t="s">
        <v>941</v>
      </c>
      <c r="I143" s="32">
        <v>12</v>
      </c>
      <c r="J143" s="2">
        <v>3383.79</v>
      </c>
      <c r="K143" s="4" t="s">
        <v>73</v>
      </c>
      <c r="L143" s="4" t="s">
        <v>45</v>
      </c>
      <c r="M143" s="4" t="s">
        <v>19</v>
      </c>
      <c r="N143" s="5" t="s">
        <v>942</v>
      </c>
      <c r="O143" s="4" t="s">
        <v>27</v>
      </c>
      <c r="P143" s="6">
        <f>IF(Table3[[#This Row],[Payment Status]]="Overdue",1,0)</f>
        <v>0</v>
      </c>
      <c r="Q143" s="11"/>
      <c r="R143" s="4" t="s">
        <v>62</v>
      </c>
      <c r="S143" s="4" t="s">
        <v>63</v>
      </c>
    </row>
    <row r="144" spans="1:19" x14ac:dyDescent="0.3">
      <c r="A144" s="4" t="s">
        <v>335</v>
      </c>
      <c r="B144" s="4" t="s">
        <v>206</v>
      </c>
      <c r="C144" s="26" t="s">
        <v>336</v>
      </c>
      <c r="D144" s="14">
        <v>45451</v>
      </c>
      <c r="E144" s="14">
        <v>45556</v>
      </c>
      <c r="F144" s="17" t="str">
        <f t="shared" si="2"/>
        <v>Jun-2024</v>
      </c>
      <c r="G144" s="2">
        <v>30763.7</v>
      </c>
      <c r="H144" s="26" t="s">
        <v>941</v>
      </c>
      <c r="I144" s="32">
        <v>18</v>
      </c>
      <c r="J144" s="2">
        <v>5537.47</v>
      </c>
      <c r="K144" s="4" t="s">
        <v>230</v>
      </c>
      <c r="L144" s="4" t="s">
        <v>66</v>
      </c>
      <c r="M144" s="4" t="s">
        <v>941</v>
      </c>
      <c r="N144" s="4" t="s">
        <v>26</v>
      </c>
      <c r="O144" s="4" t="s">
        <v>25</v>
      </c>
      <c r="P144" s="6">
        <f>IF(Table3[[#This Row],[Payment Status]]="Overdue",1,0)</f>
        <v>0</v>
      </c>
      <c r="Q144" s="11"/>
      <c r="R144" s="4" t="s">
        <v>40</v>
      </c>
      <c r="S144" s="4" t="s">
        <v>29</v>
      </c>
    </row>
    <row r="145" spans="1:19" x14ac:dyDescent="0.3">
      <c r="A145" s="4" t="s">
        <v>279</v>
      </c>
      <c r="B145" s="4" t="s">
        <v>155</v>
      </c>
      <c r="C145" s="26" t="s">
        <v>280</v>
      </c>
      <c r="D145" s="14">
        <v>45875</v>
      </c>
      <c r="F145" s="17" t="str">
        <f t="shared" si="2"/>
        <v>Aug-2025</v>
      </c>
      <c r="G145" s="2">
        <v>37955.5</v>
      </c>
      <c r="H145" s="26" t="s">
        <v>941</v>
      </c>
      <c r="I145" s="32">
        <v>5</v>
      </c>
      <c r="J145" s="2">
        <v>1897.78</v>
      </c>
      <c r="K145" s="4" t="s">
        <v>44</v>
      </c>
      <c r="L145" s="4" t="s">
        <v>54</v>
      </c>
      <c r="M145" s="4" t="s">
        <v>941</v>
      </c>
      <c r="N145" s="5" t="s">
        <v>942</v>
      </c>
      <c r="O145" s="4" t="s">
        <v>126</v>
      </c>
      <c r="P145" s="6">
        <f>IF(Table3[[#This Row],[Payment Status]]="Overdue",1,0)</f>
        <v>0</v>
      </c>
      <c r="Q145" s="10">
        <v>45734</v>
      </c>
      <c r="R145" s="4" t="s">
        <v>36</v>
      </c>
      <c r="S145" s="4" t="s">
        <v>63</v>
      </c>
    </row>
    <row r="146" spans="1:19" x14ac:dyDescent="0.3">
      <c r="A146" s="4" t="s">
        <v>239</v>
      </c>
      <c r="B146" s="4" t="s">
        <v>128</v>
      </c>
      <c r="C146" s="26" t="s">
        <v>240</v>
      </c>
      <c r="D146" s="14">
        <v>45691</v>
      </c>
      <c r="E146" s="14">
        <v>45762</v>
      </c>
      <c r="F146" s="17" t="str">
        <f t="shared" si="2"/>
        <v>Feb-2025</v>
      </c>
      <c r="G146" s="2">
        <v>7576.15</v>
      </c>
      <c r="H146" s="26" t="s">
        <v>941</v>
      </c>
      <c r="I146" s="32">
        <v>18</v>
      </c>
      <c r="J146" s="2">
        <v>1363.71</v>
      </c>
      <c r="K146" s="4" t="s">
        <v>165</v>
      </c>
      <c r="L146" s="4" t="s">
        <v>34</v>
      </c>
      <c r="M146" s="4" t="s">
        <v>19</v>
      </c>
      <c r="N146" s="4" t="s">
        <v>80</v>
      </c>
      <c r="O146" s="4" t="s">
        <v>92</v>
      </c>
      <c r="P146" s="6">
        <f>IF(Table3[[#This Row],[Payment Status]]="Overdue",1,0)</f>
        <v>1</v>
      </c>
      <c r="R146" s="4" t="s">
        <v>941</v>
      </c>
      <c r="S146" s="4" t="s">
        <v>85</v>
      </c>
    </row>
    <row r="147" spans="1:19" x14ac:dyDescent="0.3">
      <c r="A147" s="4" t="s">
        <v>484</v>
      </c>
      <c r="B147" s="4" t="s">
        <v>311</v>
      </c>
      <c r="C147" s="26" t="s">
        <v>485</v>
      </c>
      <c r="D147" s="14">
        <v>45882</v>
      </c>
      <c r="F147" s="17" t="str">
        <f t="shared" si="2"/>
        <v>Aug-2025</v>
      </c>
      <c r="G147" s="2">
        <v>32512.94</v>
      </c>
      <c r="H147" s="26" t="s">
        <v>941</v>
      </c>
      <c r="I147" s="32">
        <v>18</v>
      </c>
      <c r="J147" s="2">
        <v>5852.33</v>
      </c>
      <c r="K147" s="4" t="s">
        <v>53</v>
      </c>
      <c r="L147" s="4" t="s">
        <v>79</v>
      </c>
      <c r="M147" s="4" t="s">
        <v>19</v>
      </c>
      <c r="N147" s="4" t="s">
        <v>56</v>
      </c>
      <c r="O147" s="4" t="s">
        <v>111</v>
      </c>
      <c r="P147" s="6">
        <f>IF(Table3[[#This Row],[Payment Status]]="Overdue",1,0)</f>
        <v>0</v>
      </c>
      <c r="R147" s="4" t="s">
        <v>57</v>
      </c>
      <c r="S147" s="4" t="s">
        <v>63</v>
      </c>
    </row>
    <row r="148" spans="1:19" x14ac:dyDescent="0.3">
      <c r="A148" s="4" t="s">
        <v>428</v>
      </c>
      <c r="B148" s="4" t="s">
        <v>102</v>
      </c>
      <c r="C148" s="26" t="s">
        <v>429</v>
      </c>
      <c r="D148" s="14">
        <v>45374</v>
      </c>
      <c r="E148" s="14">
        <v>45456</v>
      </c>
      <c r="F148" s="17" t="str">
        <f t="shared" si="2"/>
        <v>Mar-2024</v>
      </c>
      <c r="G148" s="2">
        <v>70978.399999999994</v>
      </c>
      <c r="H148" s="26" t="s">
        <v>941</v>
      </c>
      <c r="I148" s="32">
        <v>28</v>
      </c>
      <c r="J148" s="2">
        <v>19873.95</v>
      </c>
      <c r="K148" s="4" t="s">
        <v>44</v>
      </c>
      <c r="L148" s="4" t="s">
        <v>60</v>
      </c>
      <c r="M148" s="4" t="s">
        <v>941</v>
      </c>
      <c r="N148" s="4" t="s">
        <v>80</v>
      </c>
      <c r="O148" s="4" t="s">
        <v>126</v>
      </c>
      <c r="P148" s="6">
        <f>IF(Table3[[#This Row],[Payment Status]]="Overdue",1,0)</f>
        <v>0</v>
      </c>
      <c r="Q148" s="10">
        <v>45523</v>
      </c>
      <c r="R148" s="4" t="s">
        <v>62</v>
      </c>
      <c r="S148" s="4" t="s">
        <v>63</v>
      </c>
    </row>
    <row r="149" spans="1:19" x14ac:dyDescent="0.3">
      <c r="A149" s="4" t="s">
        <v>413</v>
      </c>
      <c r="B149" s="4" t="s">
        <v>47</v>
      </c>
      <c r="C149" s="26" t="s">
        <v>414</v>
      </c>
      <c r="D149" s="14">
        <v>45794</v>
      </c>
      <c r="E149" s="14">
        <v>45812</v>
      </c>
      <c r="F149" s="17" t="str">
        <f t="shared" si="2"/>
        <v>May-2025</v>
      </c>
      <c r="G149" s="2">
        <v>58989.919999999998</v>
      </c>
      <c r="H149" s="26" t="s">
        <v>941</v>
      </c>
      <c r="I149" s="32">
        <v>28</v>
      </c>
      <c r="J149" s="2">
        <v>16517.18</v>
      </c>
      <c r="K149" s="4" t="s">
        <v>165</v>
      </c>
      <c r="L149" s="4" t="s">
        <v>79</v>
      </c>
      <c r="M149" s="4" t="s">
        <v>19</v>
      </c>
      <c r="N149" s="4" t="s">
        <v>117</v>
      </c>
      <c r="O149" s="6" t="s">
        <v>941</v>
      </c>
      <c r="P149" s="6">
        <f>IF(Table3[[#This Row],[Payment Status]]="Overdue",1,0)</f>
        <v>0</v>
      </c>
      <c r="Q149" s="11"/>
      <c r="R149" s="4" t="s">
        <v>62</v>
      </c>
      <c r="S149" s="4" t="s">
        <v>67</v>
      </c>
    </row>
    <row r="150" spans="1:19" x14ac:dyDescent="0.3">
      <c r="A150" s="4" t="s">
        <v>140</v>
      </c>
      <c r="B150" s="4" t="s">
        <v>141</v>
      </c>
      <c r="C150" s="26" t="s">
        <v>142</v>
      </c>
      <c r="D150" s="14">
        <v>45938</v>
      </c>
      <c r="F150" s="17" t="str">
        <f t="shared" si="2"/>
        <v>Oct-2025</v>
      </c>
      <c r="G150" s="2">
        <v>22485.46</v>
      </c>
      <c r="H150" s="26" t="s">
        <v>941</v>
      </c>
      <c r="I150" s="32">
        <v>0</v>
      </c>
      <c r="J150" s="2">
        <v>0</v>
      </c>
      <c r="K150" s="4" t="s">
        <v>143</v>
      </c>
      <c r="L150" s="4" t="s">
        <v>24</v>
      </c>
      <c r="M150" s="4" t="s">
        <v>39</v>
      </c>
      <c r="N150" s="5" t="s">
        <v>942</v>
      </c>
      <c r="O150" s="4" t="s">
        <v>111</v>
      </c>
      <c r="P150" s="6">
        <f>IF(Table3[[#This Row],[Payment Status]]="Overdue",1,0)</f>
        <v>0</v>
      </c>
      <c r="Q150" s="11"/>
      <c r="R150" s="4" t="s">
        <v>184</v>
      </c>
      <c r="S150" s="4" t="s">
        <v>63</v>
      </c>
    </row>
    <row r="151" spans="1:19" x14ac:dyDescent="0.3">
      <c r="A151" s="4" t="s">
        <v>858</v>
      </c>
      <c r="B151" s="4" t="s">
        <v>102</v>
      </c>
      <c r="C151" s="26" t="s">
        <v>859</v>
      </c>
      <c r="D151" s="14">
        <v>45556</v>
      </c>
      <c r="E151" s="14">
        <v>45932</v>
      </c>
      <c r="F151" s="17" t="str">
        <f t="shared" si="2"/>
        <v>Sep-2024</v>
      </c>
      <c r="G151" s="2">
        <v>56378.27</v>
      </c>
      <c r="H151" s="26" t="s">
        <v>941</v>
      </c>
      <c r="I151" s="32">
        <v>18</v>
      </c>
      <c r="J151" s="2">
        <v>10148.09</v>
      </c>
      <c r="K151" s="4" t="s">
        <v>33</v>
      </c>
      <c r="L151" s="4" t="s">
        <v>70</v>
      </c>
      <c r="M151" s="4" t="s">
        <v>55</v>
      </c>
      <c r="N151" s="4" t="s">
        <v>117</v>
      </c>
      <c r="O151" s="4" t="s">
        <v>126</v>
      </c>
      <c r="P151" s="6">
        <f>IF(Table3[[#This Row],[Payment Status]]="Overdue",1,0)</f>
        <v>0</v>
      </c>
      <c r="Q151" s="10">
        <v>45750</v>
      </c>
      <c r="R151" s="4" t="s">
        <v>36</v>
      </c>
      <c r="S151" s="4" t="s">
        <v>63</v>
      </c>
    </row>
    <row r="152" spans="1:19" x14ac:dyDescent="0.3">
      <c r="A152" s="4" t="s">
        <v>434</v>
      </c>
      <c r="B152" s="4" t="s">
        <v>197</v>
      </c>
      <c r="C152" s="26" t="s">
        <v>435</v>
      </c>
      <c r="D152" s="14">
        <v>45800</v>
      </c>
      <c r="F152" s="17" t="str">
        <f t="shared" si="2"/>
        <v>May-2025</v>
      </c>
      <c r="G152" s="2">
        <v>53908.160000000003</v>
      </c>
      <c r="H152" s="26" t="s">
        <v>941</v>
      </c>
      <c r="I152" s="32">
        <v>18</v>
      </c>
      <c r="J152" s="2">
        <v>9703.4699999999993</v>
      </c>
      <c r="K152" s="4" t="s">
        <v>97</v>
      </c>
      <c r="L152" s="4" t="s">
        <v>54</v>
      </c>
      <c r="M152" s="4" t="s">
        <v>55</v>
      </c>
      <c r="N152" s="4" t="s">
        <v>91</v>
      </c>
      <c r="O152" s="4" t="s">
        <v>939</v>
      </c>
      <c r="P152" s="6">
        <f>IF(Table3[[#This Row],[Payment Status]]="Overdue",1,0)</f>
        <v>0</v>
      </c>
      <c r="Q152" s="11"/>
      <c r="R152" s="4" t="s">
        <v>57</v>
      </c>
      <c r="S152" s="4" t="s">
        <v>41</v>
      </c>
    </row>
    <row r="153" spans="1:19" x14ac:dyDescent="0.3">
      <c r="A153" s="4" t="s">
        <v>319</v>
      </c>
      <c r="B153" s="4" t="s">
        <v>153</v>
      </c>
      <c r="C153" s="26" t="s">
        <v>320</v>
      </c>
      <c r="D153" s="14">
        <v>45721</v>
      </c>
      <c r="F153" s="17" t="str">
        <f t="shared" si="2"/>
        <v>Mar-2025</v>
      </c>
      <c r="G153" s="2">
        <v>18097.23</v>
      </c>
      <c r="H153" s="26" t="s">
        <v>941</v>
      </c>
      <c r="I153" s="32">
        <v>18</v>
      </c>
      <c r="J153" s="2">
        <v>3257.5</v>
      </c>
      <c r="K153" s="4" t="s">
        <v>73</v>
      </c>
      <c r="L153" s="4" t="s">
        <v>66</v>
      </c>
      <c r="M153" s="4" t="s">
        <v>61</v>
      </c>
      <c r="N153" s="4" t="s">
        <v>91</v>
      </c>
      <c r="O153" s="4" t="s">
        <v>126</v>
      </c>
      <c r="P153" s="6">
        <f>IF(Table3[[#This Row],[Payment Status]]="Overdue",1,0)</f>
        <v>0</v>
      </c>
      <c r="Q153" s="10">
        <v>45548</v>
      </c>
      <c r="R153" s="4" t="s">
        <v>941</v>
      </c>
      <c r="S153" s="4" t="s">
        <v>29</v>
      </c>
    </row>
    <row r="154" spans="1:19" x14ac:dyDescent="0.3">
      <c r="A154" s="4" t="s">
        <v>659</v>
      </c>
      <c r="B154" s="4" t="s">
        <v>102</v>
      </c>
      <c r="C154" s="26" t="s">
        <v>660</v>
      </c>
      <c r="D154" s="14">
        <v>45512</v>
      </c>
      <c r="E154" s="14">
        <v>45786</v>
      </c>
      <c r="F154" s="17" t="str">
        <f t="shared" si="2"/>
        <v>Aug-2024</v>
      </c>
      <c r="G154" s="2">
        <v>74691.490000000005</v>
      </c>
      <c r="H154" s="26" t="s">
        <v>941</v>
      </c>
      <c r="I154" s="32">
        <v>0</v>
      </c>
      <c r="J154" s="2">
        <v>0</v>
      </c>
      <c r="K154" s="4" t="s">
        <v>165</v>
      </c>
      <c r="L154" s="4" t="s">
        <v>45</v>
      </c>
      <c r="M154" s="4" t="s">
        <v>61</v>
      </c>
      <c r="N154" s="5" t="s">
        <v>942</v>
      </c>
      <c r="O154" s="4" t="s">
        <v>941</v>
      </c>
      <c r="P154" s="6">
        <f>IF(Table3[[#This Row],[Payment Status]]="Overdue",1,0)</f>
        <v>0</v>
      </c>
      <c r="Q154" s="11"/>
      <c r="R154" s="4" t="s">
        <v>40</v>
      </c>
      <c r="S154" s="4" t="s">
        <v>85</v>
      </c>
    </row>
    <row r="155" spans="1:19" x14ac:dyDescent="0.3">
      <c r="A155" s="4" t="s">
        <v>528</v>
      </c>
      <c r="B155" s="4" t="s">
        <v>102</v>
      </c>
      <c r="C155" s="26" t="s">
        <v>529</v>
      </c>
      <c r="D155" s="14">
        <v>45591</v>
      </c>
      <c r="E155" s="14">
        <v>45808</v>
      </c>
      <c r="F155" s="17" t="str">
        <f t="shared" si="2"/>
        <v>Oct-2024</v>
      </c>
      <c r="G155" s="2">
        <v>51527.61</v>
      </c>
      <c r="H155" s="26" t="s">
        <v>941</v>
      </c>
      <c r="I155" s="32">
        <v>18</v>
      </c>
      <c r="J155" s="2">
        <v>9274.9699999999993</v>
      </c>
      <c r="K155" s="4" t="s">
        <v>53</v>
      </c>
      <c r="L155" s="4" t="s">
        <v>45</v>
      </c>
      <c r="M155" s="4" t="s">
        <v>941</v>
      </c>
      <c r="N155" s="5" t="s">
        <v>942</v>
      </c>
      <c r="O155" s="6" t="s">
        <v>941</v>
      </c>
      <c r="P155" s="6">
        <f>IF(Table3[[#This Row],[Payment Status]]="Overdue",1,0)</f>
        <v>0</v>
      </c>
      <c r="Q155" s="11"/>
      <c r="R155" s="4" t="s">
        <v>184</v>
      </c>
      <c r="S155" s="4" t="s">
        <v>41</v>
      </c>
    </row>
    <row r="156" spans="1:19" x14ac:dyDescent="0.3">
      <c r="A156" s="4" t="s">
        <v>767</v>
      </c>
      <c r="B156" s="4" t="s">
        <v>190</v>
      </c>
      <c r="C156" s="26" t="s">
        <v>768</v>
      </c>
      <c r="D156" s="14">
        <v>45337</v>
      </c>
      <c r="E156" s="14">
        <v>45895</v>
      </c>
      <c r="F156" s="17" t="str">
        <f t="shared" si="2"/>
        <v>Feb-2024</v>
      </c>
      <c r="G156" s="2">
        <v>8441.2800000000007</v>
      </c>
      <c r="H156" s="26" t="s">
        <v>941</v>
      </c>
      <c r="I156" s="32">
        <v>5</v>
      </c>
      <c r="J156" s="2">
        <v>422.06</v>
      </c>
      <c r="K156" s="4" t="s">
        <v>106</v>
      </c>
      <c r="L156" s="4" t="s">
        <v>45</v>
      </c>
      <c r="M156" s="4" t="s">
        <v>39</v>
      </c>
      <c r="N156" s="5" t="s">
        <v>942</v>
      </c>
      <c r="O156" s="4" t="s">
        <v>126</v>
      </c>
      <c r="P156" s="6">
        <f>IF(Table3[[#This Row],[Payment Status]]="Overdue",1,0)</f>
        <v>0</v>
      </c>
      <c r="Q156" s="10">
        <v>45940</v>
      </c>
      <c r="R156" s="4" t="s">
        <v>184</v>
      </c>
      <c r="S156" s="4" t="s">
        <v>63</v>
      </c>
    </row>
    <row r="157" spans="1:19" x14ac:dyDescent="0.3">
      <c r="A157" s="4" t="s">
        <v>591</v>
      </c>
      <c r="B157" s="4" t="s">
        <v>206</v>
      </c>
      <c r="C157" s="26" t="s">
        <v>592</v>
      </c>
      <c r="D157" s="14">
        <v>45708</v>
      </c>
      <c r="F157" s="17" t="str">
        <f t="shared" si="2"/>
        <v>Feb-2025</v>
      </c>
      <c r="G157" s="2">
        <v>64209.37</v>
      </c>
      <c r="H157" s="26" t="s">
        <v>52</v>
      </c>
      <c r="I157" s="32">
        <v>18</v>
      </c>
      <c r="J157" s="2">
        <v>11557.69</v>
      </c>
      <c r="K157" s="4" t="s">
        <v>230</v>
      </c>
      <c r="L157" s="4" t="s">
        <v>34</v>
      </c>
      <c r="M157" s="4" t="s">
        <v>941</v>
      </c>
      <c r="N157" s="4" t="s">
        <v>117</v>
      </c>
      <c r="O157" s="4" t="s">
        <v>126</v>
      </c>
      <c r="P157" s="6">
        <f>IF(Table3[[#This Row],[Payment Status]]="Overdue",1,0)</f>
        <v>0</v>
      </c>
      <c r="Q157" s="10">
        <v>45644</v>
      </c>
      <c r="R157" s="4" t="s">
        <v>36</v>
      </c>
      <c r="S157" s="4" t="s">
        <v>63</v>
      </c>
    </row>
    <row r="158" spans="1:19" x14ac:dyDescent="0.3">
      <c r="A158" s="4" t="s">
        <v>798</v>
      </c>
      <c r="B158" s="4" t="s">
        <v>155</v>
      </c>
      <c r="C158" s="26" t="s">
        <v>799</v>
      </c>
      <c r="D158" s="14">
        <v>45986</v>
      </c>
      <c r="F158" s="17" t="str">
        <f t="shared" si="2"/>
        <v>Nov-2025</v>
      </c>
      <c r="G158" s="2">
        <v>78709.37</v>
      </c>
      <c r="H158" s="26" t="s">
        <v>52</v>
      </c>
      <c r="I158" s="32">
        <v>12</v>
      </c>
      <c r="J158" s="2">
        <v>9445.1200000000008</v>
      </c>
      <c r="K158" s="4" t="s">
        <v>44</v>
      </c>
      <c r="L158" s="4" t="s">
        <v>79</v>
      </c>
      <c r="M158" s="4" t="s">
        <v>19</v>
      </c>
      <c r="N158" s="4" t="s">
        <v>117</v>
      </c>
      <c r="O158" s="6" t="s">
        <v>941</v>
      </c>
      <c r="P158" s="6">
        <f>IF(Table3[[#This Row],[Payment Status]]="Overdue",1,0)</f>
        <v>0</v>
      </c>
      <c r="Q158" s="11"/>
      <c r="R158" s="4" t="s">
        <v>184</v>
      </c>
      <c r="S158" s="4" t="s">
        <v>29</v>
      </c>
    </row>
    <row r="159" spans="1:19" x14ac:dyDescent="0.3">
      <c r="A159" s="4" t="s">
        <v>664</v>
      </c>
      <c r="B159" s="4" t="s">
        <v>31</v>
      </c>
      <c r="C159" s="26" t="s">
        <v>665</v>
      </c>
      <c r="D159" s="14">
        <v>45369</v>
      </c>
      <c r="E159" s="14">
        <v>45465</v>
      </c>
      <c r="F159" s="17" t="str">
        <f t="shared" si="2"/>
        <v>Mar-2024</v>
      </c>
      <c r="G159" s="2">
        <v>20450.919999999998</v>
      </c>
      <c r="H159" s="26" t="s">
        <v>18</v>
      </c>
      <c r="I159" s="32">
        <v>28</v>
      </c>
      <c r="J159" s="2">
        <v>5726.26</v>
      </c>
      <c r="K159" s="4" t="s">
        <v>97</v>
      </c>
      <c r="L159" s="4" t="s">
        <v>60</v>
      </c>
      <c r="M159" s="4" t="s">
        <v>39</v>
      </c>
      <c r="N159" s="4" t="s">
        <v>100</v>
      </c>
      <c r="O159" s="4" t="s">
        <v>25</v>
      </c>
      <c r="P159" s="6">
        <f>IF(Table3[[#This Row],[Payment Status]]="Overdue",1,0)</f>
        <v>0</v>
      </c>
      <c r="Q159" s="11"/>
      <c r="R159" s="4" t="s">
        <v>62</v>
      </c>
      <c r="S159" s="4" t="s">
        <v>88</v>
      </c>
    </row>
    <row r="160" spans="1:19" x14ac:dyDescent="0.3">
      <c r="A160" s="4" t="s">
        <v>166</v>
      </c>
      <c r="B160" s="4" t="s">
        <v>102</v>
      </c>
      <c r="C160" s="26" t="s">
        <v>167</v>
      </c>
      <c r="D160" s="14">
        <v>45379</v>
      </c>
      <c r="E160" s="14">
        <v>45864</v>
      </c>
      <c r="F160" s="17" t="str">
        <f t="shared" si="2"/>
        <v>Mar-2024</v>
      </c>
      <c r="G160" s="2">
        <v>28996.11</v>
      </c>
      <c r="H160" s="26" t="s">
        <v>18</v>
      </c>
      <c r="I160" s="32">
        <v>12</v>
      </c>
      <c r="J160" s="2">
        <v>3479.53</v>
      </c>
      <c r="K160" s="4" t="s">
        <v>33</v>
      </c>
      <c r="L160" s="4" t="s">
        <v>66</v>
      </c>
      <c r="M160" s="4" t="s">
        <v>55</v>
      </c>
      <c r="N160" s="4" t="s">
        <v>117</v>
      </c>
      <c r="O160" s="4" t="s">
        <v>111</v>
      </c>
      <c r="P160" s="6">
        <f>IF(Table3[[#This Row],[Payment Status]]="Overdue",1,0)</f>
        <v>0</v>
      </c>
      <c r="Q160" s="11"/>
      <c r="R160" s="4" t="s">
        <v>941</v>
      </c>
      <c r="S160" s="5" t="s">
        <v>941</v>
      </c>
    </row>
    <row r="161" spans="1:19" x14ac:dyDescent="0.3">
      <c r="A161" s="4" t="s">
        <v>74</v>
      </c>
      <c r="B161" s="4" t="s">
        <v>31</v>
      </c>
      <c r="C161" s="26" t="s">
        <v>75</v>
      </c>
      <c r="D161" s="14">
        <v>45936</v>
      </c>
      <c r="F161" s="17" t="str">
        <f t="shared" si="2"/>
        <v>Oct-2025</v>
      </c>
      <c r="G161" s="2">
        <v>43975.38</v>
      </c>
      <c r="H161" s="26" t="s">
        <v>72</v>
      </c>
      <c r="I161" s="32">
        <v>5</v>
      </c>
      <c r="J161" s="2">
        <v>2198.77</v>
      </c>
      <c r="K161" s="4" t="s">
        <v>53</v>
      </c>
      <c r="L161" s="4" t="s">
        <v>66</v>
      </c>
      <c r="M161" s="4" t="s">
        <v>55</v>
      </c>
      <c r="N161" s="4" t="s">
        <v>35</v>
      </c>
      <c r="O161" s="4" t="s">
        <v>939</v>
      </c>
      <c r="P161" s="6">
        <f>IF(Table3[[#This Row],[Payment Status]]="Overdue",1,0)</f>
        <v>0</v>
      </c>
      <c r="Q161" s="11"/>
      <c r="R161" s="4" t="s">
        <v>40</v>
      </c>
      <c r="S161" s="4" t="s">
        <v>63</v>
      </c>
    </row>
    <row r="162" spans="1:19" x14ac:dyDescent="0.3">
      <c r="A162" s="4" t="s">
        <v>777</v>
      </c>
      <c r="B162" s="4" t="s">
        <v>141</v>
      </c>
      <c r="C162" s="26" t="s">
        <v>778</v>
      </c>
      <c r="D162" s="14">
        <v>45526</v>
      </c>
      <c r="E162" s="14">
        <v>45629</v>
      </c>
      <c r="F162" s="17" t="str">
        <f t="shared" si="2"/>
        <v>Aug-2024</v>
      </c>
      <c r="G162" s="2">
        <v>71113</v>
      </c>
      <c r="H162" s="26" t="s">
        <v>941</v>
      </c>
      <c r="I162" s="32">
        <v>0</v>
      </c>
      <c r="J162" s="2">
        <v>0</v>
      </c>
      <c r="K162" s="4" t="s">
        <v>44</v>
      </c>
      <c r="L162" s="4" t="s">
        <v>24</v>
      </c>
      <c r="M162" s="4" t="s">
        <v>55</v>
      </c>
      <c r="N162" s="4" t="s">
        <v>117</v>
      </c>
      <c r="O162" s="4" t="s">
        <v>25</v>
      </c>
      <c r="P162" s="6">
        <f>IF(Table3[[#This Row],[Payment Status]]="Overdue",1,0)</f>
        <v>0</v>
      </c>
      <c r="Q162" s="11"/>
      <c r="R162" s="4" t="s">
        <v>62</v>
      </c>
      <c r="S162" s="5" t="s">
        <v>941</v>
      </c>
    </row>
    <row r="163" spans="1:19" x14ac:dyDescent="0.3">
      <c r="A163" s="4" t="s">
        <v>698</v>
      </c>
      <c r="B163" s="4" t="s">
        <v>128</v>
      </c>
      <c r="C163" s="26" t="s">
        <v>699</v>
      </c>
      <c r="D163" s="14">
        <v>45830</v>
      </c>
      <c r="E163" s="14">
        <v>45846</v>
      </c>
      <c r="F163" s="17" t="str">
        <f t="shared" si="2"/>
        <v>Jun-2025</v>
      </c>
      <c r="G163" s="2">
        <v>79879.679999999993</v>
      </c>
      <c r="H163" s="26" t="s">
        <v>941</v>
      </c>
      <c r="I163" s="32">
        <v>18</v>
      </c>
      <c r="J163" s="2">
        <v>14378.34</v>
      </c>
      <c r="K163" s="4" t="s">
        <v>143</v>
      </c>
      <c r="L163" s="4" t="s">
        <v>34</v>
      </c>
      <c r="M163" s="4" t="s">
        <v>55</v>
      </c>
      <c r="N163" s="4" t="s">
        <v>35</v>
      </c>
      <c r="O163" s="4" t="s">
        <v>92</v>
      </c>
      <c r="P163" s="6">
        <f>IF(Table3[[#This Row],[Payment Status]]="Overdue",1,0)</f>
        <v>1</v>
      </c>
      <c r="Q163" s="11"/>
      <c r="R163" s="4" t="s">
        <v>40</v>
      </c>
      <c r="S163" s="4" t="s">
        <v>63</v>
      </c>
    </row>
    <row r="164" spans="1:19" x14ac:dyDescent="0.3">
      <c r="A164" s="4" t="s">
        <v>524</v>
      </c>
      <c r="B164" s="4" t="s">
        <v>77</v>
      </c>
      <c r="C164" s="26" t="s">
        <v>525</v>
      </c>
      <c r="D164" s="14">
        <v>45563</v>
      </c>
      <c r="E164" s="14">
        <v>45673</v>
      </c>
      <c r="F164" s="17" t="str">
        <f t="shared" si="2"/>
        <v>Sep-2024</v>
      </c>
      <c r="G164" s="2">
        <v>23876.57</v>
      </c>
      <c r="H164" s="26" t="s">
        <v>941</v>
      </c>
      <c r="I164" s="32">
        <v>18</v>
      </c>
      <c r="J164" s="2">
        <v>4297.78</v>
      </c>
      <c r="K164" s="4" t="s">
        <v>165</v>
      </c>
      <c r="L164" s="4" t="s">
        <v>98</v>
      </c>
      <c r="M164" s="4" t="s">
        <v>19</v>
      </c>
      <c r="N164" s="4" t="s">
        <v>56</v>
      </c>
      <c r="O164" s="4" t="s">
        <v>111</v>
      </c>
      <c r="P164" s="6">
        <f>IF(Table3[[#This Row],[Payment Status]]="Overdue",1,0)</f>
        <v>0</v>
      </c>
      <c r="Q164" s="11"/>
      <c r="R164" s="4" t="s">
        <v>20</v>
      </c>
      <c r="S164" s="4" t="s">
        <v>41</v>
      </c>
    </row>
    <row r="165" spans="1:19" x14ac:dyDescent="0.3">
      <c r="A165" s="4" t="s">
        <v>583</v>
      </c>
      <c r="B165" s="4" t="s">
        <v>311</v>
      </c>
      <c r="C165" s="26" t="s">
        <v>584</v>
      </c>
      <c r="D165" s="14">
        <v>45867</v>
      </c>
      <c r="E165" s="14">
        <v>45926</v>
      </c>
      <c r="F165" s="17" t="str">
        <f t="shared" si="2"/>
        <v>Jul-2025</v>
      </c>
      <c r="G165" s="2">
        <v>33954.400000000001</v>
      </c>
      <c r="H165" s="26" t="s">
        <v>941</v>
      </c>
      <c r="I165" s="32">
        <v>18</v>
      </c>
      <c r="J165" s="2">
        <v>6111.79</v>
      </c>
      <c r="K165" s="4" t="s">
        <v>44</v>
      </c>
      <c r="L165" s="4" t="s">
        <v>79</v>
      </c>
      <c r="M165" s="4" t="s">
        <v>19</v>
      </c>
      <c r="N165" s="4" t="s">
        <v>100</v>
      </c>
      <c r="O165" s="4" t="s">
        <v>92</v>
      </c>
      <c r="P165" s="6">
        <f>IF(Table3[[#This Row],[Payment Status]]="Overdue",1,0)</f>
        <v>1</v>
      </c>
      <c r="Q165" s="11"/>
      <c r="R165" s="4" t="s">
        <v>20</v>
      </c>
      <c r="S165" s="5" t="s">
        <v>941</v>
      </c>
    </row>
    <row r="166" spans="1:19" x14ac:dyDescent="0.3">
      <c r="A166" s="4" t="s">
        <v>919</v>
      </c>
      <c r="B166" s="4" t="s">
        <v>102</v>
      </c>
      <c r="C166" s="26" t="s">
        <v>887</v>
      </c>
      <c r="D166" s="14">
        <v>45689</v>
      </c>
      <c r="E166" s="22"/>
      <c r="F166" s="18" t="str">
        <f t="shared" si="2"/>
        <v>Feb-2025</v>
      </c>
      <c r="G166" s="2">
        <v>30999.439999999999</v>
      </c>
      <c r="H166" s="26" t="s">
        <v>941</v>
      </c>
      <c r="I166" s="32">
        <v>5</v>
      </c>
      <c r="J166" s="2">
        <v>1549.97</v>
      </c>
      <c r="K166" s="4" t="s">
        <v>73</v>
      </c>
      <c r="L166" s="4" t="s">
        <v>79</v>
      </c>
      <c r="M166" s="4" t="s">
        <v>55</v>
      </c>
      <c r="N166" s="4" t="s">
        <v>117</v>
      </c>
      <c r="O166" s="4" t="s">
        <v>126</v>
      </c>
      <c r="P166" s="6">
        <f>IF(Table3[[#This Row],[Payment Status]]="Overdue",1,0)</f>
        <v>0</v>
      </c>
      <c r="Q166" s="10">
        <v>45629</v>
      </c>
      <c r="R166" s="4" t="s">
        <v>62</v>
      </c>
      <c r="S166" s="4" t="s">
        <v>41</v>
      </c>
    </row>
    <row r="167" spans="1:19" x14ac:dyDescent="0.3">
      <c r="A167" s="4" t="s">
        <v>845</v>
      </c>
      <c r="B167" s="4" t="s">
        <v>102</v>
      </c>
      <c r="C167" s="26" t="s">
        <v>846</v>
      </c>
      <c r="D167" s="14">
        <v>45749</v>
      </c>
      <c r="E167" s="14">
        <v>45775</v>
      </c>
      <c r="F167" s="17" t="str">
        <f t="shared" si="2"/>
        <v>Apr-2025</v>
      </c>
      <c r="G167" s="2">
        <v>52219.37</v>
      </c>
      <c r="H167" s="26" t="s">
        <v>941</v>
      </c>
      <c r="I167" s="32">
        <v>28</v>
      </c>
      <c r="J167" s="2">
        <v>14621.42</v>
      </c>
      <c r="K167" s="4" t="s">
        <v>165</v>
      </c>
      <c r="L167" s="4" t="s">
        <v>60</v>
      </c>
      <c r="M167" s="4" t="s">
        <v>19</v>
      </c>
      <c r="N167" s="4" t="s">
        <v>100</v>
      </c>
      <c r="O167" s="4" t="s">
        <v>92</v>
      </c>
      <c r="P167" s="6">
        <f>IF(Table3[[#This Row],[Payment Status]]="Overdue",1,0)</f>
        <v>1</v>
      </c>
      <c r="Q167" s="11"/>
      <c r="R167" s="4" t="s">
        <v>36</v>
      </c>
      <c r="S167" s="4" t="s">
        <v>41</v>
      </c>
    </row>
    <row r="168" spans="1:19" x14ac:dyDescent="0.3">
      <c r="A168" s="4" t="s">
        <v>243</v>
      </c>
      <c r="B168" s="4" t="s">
        <v>206</v>
      </c>
      <c r="C168" s="26" t="s">
        <v>244</v>
      </c>
      <c r="D168" s="14">
        <v>45893</v>
      </c>
      <c r="E168" s="14">
        <v>45949</v>
      </c>
      <c r="F168" s="17" t="str">
        <f t="shared" si="2"/>
        <v>Aug-2025</v>
      </c>
      <c r="G168" s="2">
        <v>35276.97</v>
      </c>
      <c r="H168" s="26" t="s">
        <v>941</v>
      </c>
      <c r="I168" s="32">
        <v>18</v>
      </c>
      <c r="J168" s="2">
        <v>6349.85</v>
      </c>
      <c r="K168" s="4" t="s">
        <v>97</v>
      </c>
      <c r="L168" s="4" t="s">
        <v>60</v>
      </c>
      <c r="M168" s="4" t="s">
        <v>39</v>
      </c>
      <c r="N168" s="4" t="s">
        <v>80</v>
      </c>
      <c r="O168" s="4" t="s">
        <v>111</v>
      </c>
      <c r="P168" s="6">
        <f>IF(Table3[[#This Row],[Payment Status]]="Overdue",1,0)</f>
        <v>0</v>
      </c>
      <c r="Q168" s="11"/>
      <c r="R168" s="4" t="s">
        <v>20</v>
      </c>
      <c r="S168" s="4" t="s">
        <v>41</v>
      </c>
    </row>
    <row r="169" spans="1:19" x14ac:dyDescent="0.3">
      <c r="A169" s="4" t="s">
        <v>830</v>
      </c>
      <c r="B169" s="4" t="s">
        <v>190</v>
      </c>
      <c r="C169" s="27"/>
      <c r="D169" s="14">
        <v>45443</v>
      </c>
      <c r="E169" s="14">
        <v>45526</v>
      </c>
      <c r="F169" s="17" t="str">
        <f t="shared" si="2"/>
        <v>May-2024</v>
      </c>
      <c r="G169" s="2">
        <v>37752.160000000003</v>
      </c>
      <c r="H169" s="26" t="s">
        <v>941</v>
      </c>
      <c r="I169" s="32">
        <v>5</v>
      </c>
      <c r="J169" s="2">
        <v>1887.61</v>
      </c>
      <c r="K169" s="4" t="s">
        <v>73</v>
      </c>
      <c r="L169" s="4" t="s">
        <v>54</v>
      </c>
      <c r="M169" s="4" t="s">
        <v>39</v>
      </c>
      <c r="N169" s="5" t="s">
        <v>942</v>
      </c>
      <c r="O169" s="4" t="s">
        <v>111</v>
      </c>
      <c r="P169" s="6">
        <f>IF(Table3[[#This Row],[Payment Status]]="Overdue",1,0)</f>
        <v>0</v>
      </c>
      <c r="Q169" s="11"/>
      <c r="R169" s="4" t="s">
        <v>28</v>
      </c>
      <c r="S169" s="4" t="s">
        <v>63</v>
      </c>
    </row>
    <row r="170" spans="1:19" x14ac:dyDescent="0.3">
      <c r="A170" s="4" t="s">
        <v>506</v>
      </c>
      <c r="B170" s="4" t="s">
        <v>311</v>
      </c>
      <c r="C170" s="26" t="s">
        <v>507</v>
      </c>
      <c r="D170" s="14">
        <v>45719</v>
      </c>
      <c r="E170" s="14">
        <v>45874</v>
      </c>
      <c r="F170" s="17" t="str">
        <f t="shared" si="2"/>
        <v>Mar-2025</v>
      </c>
      <c r="G170" s="2">
        <v>37641.85</v>
      </c>
      <c r="H170" s="26" t="s">
        <v>941</v>
      </c>
      <c r="I170" s="32">
        <v>0</v>
      </c>
      <c r="J170" s="2">
        <v>0</v>
      </c>
      <c r="K170" s="4" t="s">
        <v>44</v>
      </c>
      <c r="L170" s="4" t="s">
        <v>24</v>
      </c>
      <c r="M170" s="4" t="s">
        <v>39</v>
      </c>
      <c r="N170" s="4" t="s">
        <v>91</v>
      </c>
      <c r="O170" s="4" t="s">
        <v>939</v>
      </c>
      <c r="P170" s="6">
        <f>IF(Table3[[#This Row],[Payment Status]]="Overdue",1,0)</f>
        <v>0</v>
      </c>
      <c r="Q170" s="11"/>
      <c r="R170" s="4" t="s">
        <v>20</v>
      </c>
      <c r="S170" s="4" t="s">
        <v>88</v>
      </c>
    </row>
    <row r="171" spans="1:19" x14ac:dyDescent="0.3">
      <c r="A171" s="4" t="s">
        <v>885</v>
      </c>
      <c r="B171" s="4" t="s">
        <v>31</v>
      </c>
      <c r="C171" s="26" t="s">
        <v>886</v>
      </c>
      <c r="D171" s="14">
        <v>45937</v>
      </c>
      <c r="F171" s="17" t="str">
        <f t="shared" si="2"/>
        <v>Oct-2025</v>
      </c>
      <c r="G171" s="2">
        <v>22463.88</v>
      </c>
      <c r="H171" s="26" t="s">
        <v>941</v>
      </c>
      <c r="I171" s="32">
        <v>28</v>
      </c>
      <c r="J171" s="2">
        <v>6289.89</v>
      </c>
      <c r="K171" s="4" t="s">
        <v>143</v>
      </c>
      <c r="L171" s="4" t="s">
        <v>60</v>
      </c>
      <c r="M171" s="4" t="s">
        <v>19</v>
      </c>
      <c r="N171" s="5" t="s">
        <v>942</v>
      </c>
      <c r="O171" s="4" t="s">
        <v>939</v>
      </c>
      <c r="P171" s="6">
        <f>IF(Table3[[#This Row],[Payment Status]]="Overdue",1,0)</f>
        <v>0</v>
      </c>
      <c r="Q171" s="11"/>
      <c r="R171" s="4" t="s">
        <v>20</v>
      </c>
      <c r="S171" s="4" t="s">
        <v>67</v>
      </c>
    </row>
    <row r="172" spans="1:19" x14ac:dyDescent="0.3">
      <c r="A172" s="4" t="s">
        <v>378</v>
      </c>
      <c r="B172" s="4" t="s">
        <v>137</v>
      </c>
      <c r="C172" s="26" t="s">
        <v>379</v>
      </c>
      <c r="D172" s="14">
        <v>45866</v>
      </c>
      <c r="F172" s="17" t="str">
        <f t="shared" si="2"/>
        <v>Jul-2025</v>
      </c>
      <c r="G172" s="2">
        <v>22991.21</v>
      </c>
      <c r="H172" s="26" t="s">
        <v>941</v>
      </c>
      <c r="I172" s="32">
        <v>5</v>
      </c>
      <c r="J172" s="2">
        <v>1149.56</v>
      </c>
      <c r="K172" s="4" t="s">
        <v>73</v>
      </c>
      <c r="L172" s="4" t="s">
        <v>940</v>
      </c>
      <c r="M172" s="4" t="s">
        <v>19</v>
      </c>
      <c r="N172" s="4" t="s">
        <v>56</v>
      </c>
      <c r="O172" s="4" t="s">
        <v>92</v>
      </c>
      <c r="P172" s="6">
        <f>IF(Table3[[#This Row],[Payment Status]]="Overdue",1,0)</f>
        <v>1</v>
      </c>
      <c r="Q172" s="11"/>
      <c r="R172" s="4" t="s">
        <v>20</v>
      </c>
      <c r="S172" s="4" t="s">
        <v>29</v>
      </c>
    </row>
    <row r="173" spans="1:19" x14ac:dyDescent="0.3">
      <c r="A173" s="4" t="s">
        <v>498</v>
      </c>
      <c r="B173" s="4" t="s">
        <v>155</v>
      </c>
      <c r="C173" s="26" t="s">
        <v>499</v>
      </c>
      <c r="D173" s="14">
        <v>45605</v>
      </c>
      <c r="E173" s="14">
        <v>45708</v>
      </c>
      <c r="F173" s="17" t="str">
        <f t="shared" si="2"/>
        <v>Nov-2024</v>
      </c>
      <c r="G173" s="2">
        <v>21121.71</v>
      </c>
      <c r="H173" s="26" t="s">
        <v>941</v>
      </c>
      <c r="I173" s="32">
        <v>18</v>
      </c>
      <c r="J173" s="2">
        <v>3801.91</v>
      </c>
      <c r="K173" s="4" t="s">
        <v>230</v>
      </c>
      <c r="L173" s="4" t="s">
        <v>70</v>
      </c>
      <c r="M173" s="4" t="s">
        <v>39</v>
      </c>
      <c r="N173" s="4" t="s">
        <v>35</v>
      </c>
      <c r="O173" s="4" t="s">
        <v>111</v>
      </c>
      <c r="P173" s="6">
        <f>IF(Table3[[#This Row],[Payment Status]]="Overdue",1,0)</f>
        <v>0</v>
      </c>
      <c r="Q173" s="11"/>
      <c r="R173" s="4" t="s">
        <v>20</v>
      </c>
      <c r="S173" s="4" t="s">
        <v>67</v>
      </c>
    </row>
    <row r="174" spans="1:19" x14ac:dyDescent="0.3">
      <c r="A174" s="4" t="s">
        <v>168</v>
      </c>
      <c r="B174" s="4" t="s">
        <v>50</v>
      </c>
      <c r="C174" s="26" t="s">
        <v>169</v>
      </c>
      <c r="D174" s="14">
        <v>45913</v>
      </c>
      <c r="F174" s="17" t="str">
        <f t="shared" si="2"/>
        <v>Sep-2025</v>
      </c>
      <c r="G174" s="2">
        <v>49761.53</v>
      </c>
      <c r="H174" s="26" t="s">
        <v>941</v>
      </c>
      <c r="I174" s="32">
        <v>18</v>
      </c>
      <c r="J174" s="2">
        <v>8957.08</v>
      </c>
      <c r="K174" s="4" t="s">
        <v>73</v>
      </c>
      <c r="L174" s="4" t="s">
        <v>60</v>
      </c>
      <c r="M174" s="4" t="s">
        <v>941</v>
      </c>
      <c r="N174" s="4" t="s">
        <v>100</v>
      </c>
      <c r="O174" s="4" t="s">
        <v>126</v>
      </c>
      <c r="P174" s="6">
        <f>IF(Table3[[#This Row],[Payment Status]]="Overdue",1,0)</f>
        <v>0</v>
      </c>
      <c r="Q174" s="10">
        <v>45325</v>
      </c>
      <c r="R174" s="4" t="s">
        <v>20</v>
      </c>
      <c r="S174" s="4" t="s">
        <v>63</v>
      </c>
    </row>
    <row r="175" spans="1:19" x14ac:dyDescent="0.3">
      <c r="A175" s="4" t="s">
        <v>877</v>
      </c>
      <c r="B175" s="4" t="s">
        <v>155</v>
      </c>
      <c r="C175" s="26" t="s">
        <v>878</v>
      </c>
      <c r="D175" s="14">
        <v>45618</v>
      </c>
      <c r="E175" s="14">
        <v>45678</v>
      </c>
      <c r="F175" s="17" t="str">
        <f t="shared" si="2"/>
        <v>Nov-2024</v>
      </c>
      <c r="G175" s="2">
        <v>21421.58</v>
      </c>
      <c r="H175" s="26" t="s">
        <v>941</v>
      </c>
      <c r="I175" s="32">
        <v>18</v>
      </c>
      <c r="J175" s="2">
        <v>3855.88</v>
      </c>
      <c r="K175" s="4" t="s">
        <v>230</v>
      </c>
      <c r="L175" s="4" t="s">
        <v>66</v>
      </c>
      <c r="M175" s="4" t="s">
        <v>61</v>
      </c>
      <c r="N175" s="4" t="s">
        <v>80</v>
      </c>
      <c r="O175" s="4" t="s">
        <v>111</v>
      </c>
      <c r="P175" s="6">
        <f>IF(Table3[[#This Row],[Payment Status]]="Overdue",1,0)</f>
        <v>0</v>
      </c>
      <c r="Q175" s="11"/>
      <c r="R175" s="4" t="s">
        <v>28</v>
      </c>
      <c r="S175" s="4" t="s">
        <v>85</v>
      </c>
    </row>
    <row r="176" spans="1:19" x14ac:dyDescent="0.3">
      <c r="A176" s="4" t="s">
        <v>283</v>
      </c>
      <c r="B176" s="4" t="s">
        <v>630</v>
      </c>
      <c r="C176" s="26" t="s">
        <v>284</v>
      </c>
      <c r="D176" s="14">
        <v>45506</v>
      </c>
      <c r="E176" s="14">
        <v>45926</v>
      </c>
      <c r="F176" s="17" t="str">
        <f t="shared" si="2"/>
        <v>Aug-2024</v>
      </c>
      <c r="G176" s="2">
        <v>20411.04</v>
      </c>
      <c r="H176" s="26" t="s">
        <v>941</v>
      </c>
      <c r="I176" s="32">
        <v>18</v>
      </c>
      <c r="J176" s="2">
        <v>3673.99</v>
      </c>
      <c r="K176" s="5" t="s">
        <v>66</v>
      </c>
      <c r="L176" s="4" t="s">
        <v>940</v>
      </c>
      <c r="M176" s="4" t="s">
        <v>941</v>
      </c>
      <c r="N176" s="4" t="s">
        <v>80</v>
      </c>
      <c r="O176" s="4" t="s">
        <v>92</v>
      </c>
      <c r="P176" s="6">
        <f>IF(Table3[[#This Row],[Payment Status]]="Overdue",1,0)</f>
        <v>1</v>
      </c>
      <c r="Q176" s="11"/>
      <c r="R176" s="4" t="s">
        <v>20</v>
      </c>
      <c r="S176" s="4" t="s">
        <v>85</v>
      </c>
    </row>
    <row r="177" spans="1:19" x14ac:dyDescent="0.3">
      <c r="A177" s="4" t="s">
        <v>235</v>
      </c>
      <c r="B177" s="4" t="s">
        <v>77</v>
      </c>
      <c r="C177" s="26" t="s">
        <v>236</v>
      </c>
      <c r="D177" s="14">
        <v>45757</v>
      </c>
      <c r="F177" s="17" t="str">
        <f t="shared" si="2"/>
        <v>Apr-2025</v>
      </c>
      <c r="G177" s="2">
        <v>55974.62</v>
      </c>
      <c r="H177" s="26" t="s">
        <v>941</v>
      </c>
      <c r="I177" s="32">
        <v>12</v>
      </c>
      <c r="J177" s="2">
        <v>6716.95</v>
      </c>
      <c r="K177" s="4" t="s">
        <v>143</v>
      </c>
      <c r="L177" s="4" t="s">
        <v>66</v>
      </c>
      <c r="M177" s="4" t="s">
        <v>39</v>
      </c>
      <c r="N177" s="4" t="s">
        <v>100</v>
      </c>
      <c r="O177" s="6" t="s">
        <v>941</v>
      </c>
      <c r="P177" s="6">
        <f>IF(Table3[[#This Row],[Payment Status]]="Overdue",1,0)</f>
        <v>0</v>
      </c>
      <c r="Q177" s="11"/>
      <c r="R177" s="4" t="s">
        <v>20</v>
      </c>
      <c r="S177" s="4" t="s">
        <v>85</v>
      </c>
    </row>
    <row r="178" spans="1:19" x14ac:dyDescent="0.3">
      <c r="A178" s="4" t="s">
        <v>212</v>
      </c>
      <c r="B178" s="4" t="s">
        <v>197</v>
      </c>
      <c r="C178" s="26" t="s">
        <v>213</v>
      </c>
      <c r="D178" s="14">
        <v>45364</v>
      </c>
      <c r="E178" s="14">
        <v>45459</v>
      </c>
      <c r="F178" s="17" t="str">
        <f t="shared" si="2"/>
        <v>Mar-2024</v>
      </c>
      <c r="G178" s="2">
        <v>80299.61</v>
      </c>
      <c r="H178" s="26" t="s">
        <v>941</v>
      </c>
      <c r="I178" s="32">
        <v>18</v>
      </c>
      <c r="J178" s="2">
        <v>14453.93</v>
      </c>
      <c r="K178" s="4" t="s">
        <v>53</v>
      </c>
      <c r="L178" s="4" t="s">
        <v>54</v>
      </c>
      <c r="M178" s="4" t="s">
        <v>19</v>
      </c>
      <c r="N178" s="4" t="s">
        <v>100</v>
      </c>
      <c r="O178" s="6" t="s">
        <v>941</v>
      </c>
      <c r="P178" s="6">
        <f>IF(Table3[[#This Row],[Payment Status]]="Overdue",1,0)</f>
        <v>0</v>
      </c>
      <c r="Q178" s="11"/>
      <c r="R178" s="4" t="s">
        <v>40</v>
      </c>
      <c r="S178" s="4" t="s">
        <v>67</v>
      </c>
    </row>
    <row r="179" spans="1:19" x14ac:dyDescent="0.3">
      <c r="A179" s="4" t="s">
        <v>254</v>
      </c>
      <c r="B179" s="4" t="s">
        <v>630</v>
      </c>
      <c r="C179" s="26" t="s">
        <v>255</v>
      </c>
      <c r="D179" s="14">
        <v>45543</v>
      </c>
      <c r="E179" s="14">
        <v>45906</v>
      </c>
      <c r="F179" s="17" t="str">
        <f t="shared" si="2"/>
        <v>Sep-2024</v>
      </c>
      <c r="G179" s="2">
        <v>76725.850000000006</v>
      </c>
      <c r="H179" s="26" t="s">
        <v>941</v>
      </c>
      <c r="I179" s="32">
        <v>28</v>
      </c>
      <c r="J179" s="2">
        <v>21483.24</v>
      </c>
      <c r="K179" s="4" t="s">
        <v>143</v>
      </c>
      <c r="L179" s="4" t="s">
        <v>45</v>
      </c>
      <c r="M179" s="4" t="s">
        <v>55</v>
      </c>
      <c r="N179" s="4" t="s">
        <v>100</v>
      </c>
      <c r="O179" s="4" t="s">
        <v>111</v>
      </c>
      <c r="P179" s="6">
        <f>IF(Table3[[#This Row],[Payment Status]]="Overdue",1,0)</f>
        <v>0</v>
      </c>
      <c r="Q179" s="11"/>
      <c r="R179" s="4" t="s">
        <v>62</v>
      </c>
      <c r="S179" s="4" t="s">
        <v>67</v>
      </c>
    </row>
    <row r="180" spans="1:19" x14ac:dyDescent="0.3">
      <c r="A180" s="4" t="s">
        <v>783</v>
      </c>
      <c r="B180" s="4" t="s">
        <v>311</v>
      </c>
      <c r="C180" s="26" t="s">
        <v>784</v>
      </c>
      <c r="D180" s="14">
        <v>45362</v>
      </c>
      <c r="E180" s="14">
        <v>45396</v>
      </c>
      <c r="F180" s="17" t="str">
        <f t="shared" si="2"/>
        <v>Mar-2024</v>
      </c>
      <c r="G180" s="2">
        <v>72757.88</v>
      </c>
      <c r="H180" s="26" t="s">
        <v>941</v>
      </c>
      <c r="I180" s="32">
        <v>18</v>
      </c>
      <c r="J180" s="2">
        <v>13096.42</v>
      </c>
      <c r="K180" s="4" t="s">
        <v>97</v>
      </c>
      <c r="L180" s="4" t="s">
        <v>24</v>
      </c>
      <c r="M180" s="4" t="s">
        <v>55</v>
      </c>
      <c r="N180" s="4" t="s">
        <v>35</v>
      </c>
      <c r="O180" s="4" t="s">
        <v>126</v>
      </c>
      <c r="P180" s="6">
        <f>IF(Table3[[#This Row],[Payment Status]]="Overdue",1,0)</f>
        <v>0</v>
      </c>
      <c r="Q180" s="10">
        <v>45635</v>
      </c>
      <c r="R180" s="4" t="s">
        <v>28</v>
      </c>
      <c r="S180" s="4" t="s">
        <v>41</v>
      </c>
    </row>
    <row r="181" spans="1:19" x14ac:dyDescent="0.3">
      <c r="A181" s="4" t="s">
        <v>46</v>
      </c>
      <c r="B181" s="4" t="s">
        <v>47</v>
      </c>
      <c r="C181" s="26" t="s">
        <v>48</v>
      </c>
      <c r="D181" s="14">
        <v>45599</v>
      </c>
      <c r="E181" s="14">
        <v>45905</v>
      </c>
      <c r="F181" s="17" t="str">
        <f t="shared" si="2"/>
        <v>Nov-2024</v>
      </c>
      <c r="G181" s="2">
        <v>69685.87</v>
      </c>
      <c r="H181" s="26" t="s">
        <v>941</v>
      </c>
      <c r="I181" s="32">
        <v>0</v>
      </c>
      <c r="J181" s="2">
        <v>0</v>
      </c>
      <c r="K181" s="4" t="s">
        <v>165</v>
      </c>
      <c r="L181" s="4" t="s">
        <v>34</v>
      </c>
      <c r="M181" s="4" t="s">
        <v>25</v>
      </c>
      <c r="N181" s="5" t="s">
        <v>942</v>
      </c>
      <c r="O181" s="4" t="s">
        <v>27</v>
      </c>
      <c r="P181" s="6">
        <f>IF(Table3[[#This Row],[Payment Status]]="Overdue",1,0)</f>
        <v>0</v>
      </c>
      <c r="Q181" s="11"/>
      <c r="R181" s="4" t="s">
        <v>941</v>
      </c>
      <c r="S181" s="4" t="s">
        <v>29</v>
      </c>
    </row>
    <row r="182" spans="1:19" x14ac:dyDescent="0.3">
      <c r="A182" s="4" t="s">
        <v>306</v>
      </c>
      <c r="B182" s="4" t="s">
        <v>47</v>
      </c>
      <c r="C182" s="26" t="s">
        <v>307</v>
      </c>
      <c r="D182" s="14">
        <v>45783</v>
      </c>
      <c r="F182" s="17" t="str">
        <f t="shared" si="2"/>
        <v>May-2025</v>
      </c>
      <c r="G182" s="2">
        <v>82542.759999999995</v>
      </c>
      <c r="H182" s="26" t="s">
        <v>941</v>
      </c>
      <c r="I182" s="32">
        <v>0</v>
      </c>
      <c r="J182" s="2">
        <v>0</v>
      </c>
      <c r="K182" s="4" t="s">
        <v>73</v>
      </c>
      <c r="L182" s="4" t="s">
        <v>45</v>
      </c>
      <c r="M182" s="4" t="s">
        <v>39</v>
      </c>
      <c r="N182" s="4" t="s">
        <v>80</v>
      </c>
      <c r="O182" s="4" t="s">
        <v>92</v>
      </c>
      <c r="P182" s="6">
        <f>IF(Table3[[#This Row],[Payment Status]]="Overdue",1,0)</f>
        <v>1</v>
      </c>
      <c r="Q182" s="11"/>
      <c r="R182" s="4" t="s">
        <v>62</v>
      </c>
      <c r="S182" s="4" t="s">
        <v>41</v>
      </c>
    </row>
    <row r="183" spans="1:19" x14ac:dyDescent="0.3">
      <c r="A183" s="4" t="s">
        <v>814</v>
      </c>
      <c r="B183" s="4" t="s">
        <v>163</v>
      </c>
      <c r="C183" s="26" t="s">
        <v>815</v>
      </c>
      <c r="D183" s="14">
        <v>45496</v>
      </c>
      <c r="E183" s="14">
        <v>45866</v>
      </c>
      <c r="F183" s="17" t="str">
        <f t="shared" si="2"/>
        <v>Jul-2024</v>
      </c>
      <c r="G183" s="2">
        <v>21043.96</v>
      </c>
      <c r="H183" s="26" t="s">
        <v>941</v>
      </c>
      <c r="I183" s="32">
        <v>12</v>
      </c>
      <c r="J183" s="2">
        <v>2525.2800000000002</v>
      </c>
      <c r="K183" s="4" t="s">
        <v>230</v>
      </c>
      <c r="L183" s="4" t="s">
        <v>98</v>
      </c>
      <c r="M183" s="4" t="s">
        <v>55</v>
      </c>
      <c r="N183" s="4" t="s">
        <v>80</v>
      </c>
      <c r="O183" s="4" t="s">
        <v>25</v>
      </c>
      <c r="P183" s="6">
        <f>IF(Table3[[#This Row],[Payment Status]]="Overdue",1,0)</f>
        <v>0</v>
      </c>
      <c r="Q183" s="11"/>
      <c r="R183" s="4" t="s">
        <v>941</v>
      </c>
      <c r="S183" s="4" t="s">
        <v>88</v>
      </c>
    </row>
    <row r="184" spans="1:19" x14ac:dyDescent="0.3">
      <c r="A184" s="4" t="s">
        <v>265</v>
      </c>
      <c r="B184" s="4" t="s">
        <v>31</v>
      </c>
      <c r="C184" s="27"/>
      <c r="D184" s="14">
        <v>45850</v>
      </c>
      <c r="F184" s="17" t="str">
        <f t="shared" si="2"/>
        <v>Jul-2025</v>
      </c>
      <c r="G184" s="2">
        <v>9684.74</v>
      </c>
      <c r="H184" s="26" t="s">
        <v>941</v>
      </c>
      <c r="I184" s="32">
        <v>5</v>
      </c>
      <c r="J184" s="2">
        <v>484.24</v>
      </c>
      <c r="K184" s="4" t="s">
        <v>106</v>
      </c>
      <c r="L184" s="4" t="s">
        <v>940</v>
      </c>
      <c r="M184" s="4" t="s">
        <v>39</v>
      </c>
      <c r="N184" s="5" t="s">
        <v>942</v>
      </c>
      <c r="O184" s="4" t="s">
        <v>939</v>
      </c>
      <c r="P184" s="6">
        <f>IF(Table3[[#This Row],[Payment Status]]="Overdue",1,0)</f>
        <v>0</v>
      </c>
      <c r="Q184" s="11"/>
      <c r="R184" s="4" t="s">
        <v>36</v>
      </c>
      <c r="S184" s="4" t="s">
        <v>85</v>
      </c>
    </row>
    <row r="185" spans="1:19" x14ac:dyDescent="0.3">
      <c r="A185" s="4" t="s">
        <v>700</v>
      </c>
      <c r="B185" s="4" t="s">
        <v>163</v>
      </c>
      <c r="C185" s="26" t="s">
        <v>701</v>
      </c>
      <c r="D185" s="14">
        <v>45820</v>
      </c>
      <c r="E185" s="14">
        <v>45831</v>
      </c>
      <c r="F185" s="17" t="str">
        <f t="shared" si="2"/>
        <v>Jun-2025</v>
      </c>
      <c r="G185" s="2">
        <v>5250.34</v>
      </c>
      <c r="H185" s="26" t="s">
        <v>941</v>
      </c>
      <c r="I185" s="32">
        <v>12</v>
      </c>
      <c r="J185" s="2">
        <v>630.04</v>
      </c>
      <c r="K185" s="4" t="s">
        <v>230</v>
      </c>
      <c r="L185" s="4" t="s">
        <v>60</v>
      </c>
      <c r="M185" s="4" t="s">
        <v>25</v>
      </c>
      <c r="N185" s="4" t="s">
        <v>26</v>
      </c>
      <c r="O185" s="6" t="s">
        <v>941</v>
      </c>
      <c r="P185" s="6">
        <f>IF(Table3[[#This Row],[Payment Status]]="Overdue",1,0)</f>
        <v>0</v>
      </c>
      <c r="Q185" s="11"/>
      <c r="R185" s="4" t="s">
        <v>184</v>
      </c>
      <c r="S185" s="4" t="s">
        <v>41</v>
      </c>
    </row>
    <row r="186" spans="1:19" x14ac:dyDescent="0.3">
      <c r="A186" s="4" t="s">
        <v>689</v>
      </c>
      <c r="B186" s="4" t="s">
        <v>77</v>
      </c>
      <c r="C186" s="27"/>
      <c r="D186" s="14">
        <v>45663</v>
      </c>
      <c r="E186" s="14">
        <v>45760</v>
      </c>
      <c r="F186" s="17" t="str">
        <f t="shared" si="2"/>
        <v>Jan-2025</v>
      </c>
      <c r="G186" s="2">
        <v>3522.99</v>
      </c>
      <c r="H186" s="26" t="s">
        <v>941</v>
      </c>
      <c r="I186" s="32">
        <v>18</v>
      </c>
      <c r="J186" s="2">
        <v>634.14</v>
      </c>
      <c r="K186" s="4" t="s">
        <v>44</v>
      </c>
      <c r="L186" s="4" t="s">
        <v>79</v>
      </c>
      <c r="M186" s="4" t="s">
        <v>941</v>
      </c>
      <c r="N186" s="4" t="s">
        <v>80</v>
      </c>
      <c r="O186" s="4" t="s">
        <v>939</v>
      </c>
      <c r="P186" s="6">
        <f>IF(Table3[[#This Row],[Payment Status]]="Overdue",1,0)</f>
        <v>0</v>
      </c>
      <c r="Q186" s="11"/>
      <c r="R186" s="4" t="s">
        <v>184</v>
      </c>
      <c r="S186" s="4" t="s">
        <v>85</v>
      </c>
    </row>
    <row r="187" spans="1:19" x14ac:dyDescent="0.3">
      <c r="A187" s="4" t="s">
        <v>101</v>
      </c>
      <c r="B187" s="4" t="s">
        <v>102</v>
      </c>
      <c r="C187" s="26" t="s">
        <v>103</v>
      </c>
      <c r="D187" s="14">
        <v>45501</v>
      </c>
      <c r="E187" s="14">
        <v>45919</v>
      </c>
      <c r="F187" s="17" t="str">
        <f t="shared" si="2"/>
        <v>Jul-2024</v>
      </c>
      <c r="G187" s="2">
        <v>35560.730000000003</v>
      </c>
      <c r="H187" s="26" t="s">
        <v>52</v>
      </c>
      <c r="I187" s="32">
        <v>12</v>
      </c>
      <c r="J187" s="2">
        <v>4267.29</v>
      </c>
      <c r="K187" s="4" t="s">
        <v>44</v>
      </c>
      <c r="L187" s="4" t="s">
        <v>98</v>
      </c>
      <c r="M187" s="4" t="s">
        <v>25</v>
      </c>
      <c r="N187" s="4" t="s">
        <v>56</v>
      </c>
      <c r="O187" s="4" t="s">
        <v>27</v>
      </c>
      <c r="P187" s="6">
        <f>IF(Table3[[#This Row],[Payment Status]]="Overdue",1,0)</f>
        <v>0</v>
      </c>
      <c r="Q187" s="11"/>
      <c r="R187" s="4" t="s">
        <v>57</v>
      </c>
      <c r="S187" s="4" t="s">
        <v>41</v>
      </c>
    </row>
    <row r="188" spans="1:19" x14ac:dyDescent="0.3">
      <c r="A188" s="4" t="s">
        <v>602</v>
      </c>
      <c r="B188" s="4" t="s">
        <v>137</v>
      </c>
      <c r="C188" s="26" t="s">
        <v>603</v>
      </c>
      <c r="D188" s="14">
        <v>45839</v>
      </c>
      <c r="F188" s="17" t="str">
        <f t="shared" si="2"/>
        <v>Jul-2025</v>
      </c>
      <c r="G188" s="2">
        <v>61842.7</v>
      </c>
      <c r="H188" s="26" t="s">
        <v>18</v>
      </c>
      <c r="I188" s="32">
        <v>18</v>
      </c>
      <c r="J188" s="2">
        <v>11131.69</v>
      </c>
      <c r="K188" s="4" t="s">
        <v>66</v>
      </c>
      <c r="L188" s="4" t="s">
        <v>70</v>
      </c>
      <c r="M188" s="4" t="s">
        <v>19</v>
      </c>
      <c r="N188" s="4" t="s">
        <v>80</v>
      </c>
      <c r="O188" s="4" t="s">
        <v>126</v>
      </c>
      <c r="P188" s="6">
        <f>IF(Table3[[#This Row],[Payment Status]]="Overdue",1,0)</f>
        <v>0</v>
      </c>
      <c r="Q188" s="10">
        <v>45447</v>
      </c>
      <c r="R188" s="4" t="s">
        <v>28</v>
      </c>
      <c r="S188" s="5" t="s">
        <v>941</v>
      </c>
    </row>
    <row r="189" spans="1:19" x14ac:dyDescent="0.3">
      <c r="A189" s="4" t="s">
        <v>374</v>
      </c>
      <c r="B189" s="4" t="s">
        <v>121</v>
      </c>
      <c r="C189" s="26" t="s">
        <v>375</v>
      </c>
      <c r="D189" s="14">
        <v>45431</v>
      </c>
      <c r="E189" s="14">
        <v>45674</v>
      </c>
      <c r="F189" s="17" t="str">
        <f t="shared" si="2"/>
        <v>May-2024</v>
      </c>
      <c r="G189" s="2">
        <v>41849.160000000003</v>
      </c>
      <c r="H189" s="26" t="s">
        <v>52</v>
      </c>
      <c r="I189" s="32">
        <v>18</v>
      </c>
      <c r="J189" s="2">
        <v>7532.85</v>
      </c>
      <c r="K189" s="4" t="s">
        <v>143</v>
      </c>
      <c r="L189" s="4" t="s">
        <v>98</v>
      </c>
      <c r="M189" s="4" t="s">
        <v>19</v>
      </c>
      <c r="N189" s="4" t="s">
        <v>117</v>
      </c>
      <c r="O189" s="4" t="s">
        <v>111</v>
      </c>
      <c r="P189" s="6">
        <f>IF(Table3[[#This Row],[Payment Status]]="Overdue",1,0)</f>
        <v>0</v>
      </c>
      <c r="Q189" s="11"/>
      <c r="R189" s="4" t="s">
        <v>40</v>
      </c>
      <c r="S189" s="4" t="s">
        <v>41</v>
      </c>
    </row>
    <row r="190" spans="1:19" x14ac:dyDescent="0.3">
      <c r="A190" s="4" t="s">
        <v>333</v>
      </c>
      <c r="B190" s="4" t="s">
        <v>190</v>
      </c>
      <c r="C190" s="26" t="s">
        <v>334</v>
      </c>
      <c r="D190" s="14">
        <v>45689</v>
      </c>
      <c r="E190" s="14">
        <v>45877</v>
      </c>
      <c r="F190" s="17" t="str">
        <f t="shared" si="2"/>
        <v>Feb-2025</v>
      </c>
      <c r="G190" s="2">
        <v>54572.27</v>
      </c>
      <c r="H190" s="26" t="s">
        <v>72</v>
      </c>
      <c r="I190" s="32">
        <v>18</v>
      </c>
      <c r="J190" s="2">
        <v>9823.01</v>
      </c>
      <c r="K190" s="4" t="s">
        <v>165</v>
      </c>
      <c r="L190" s="4" t="s">
        <v>24</v>
      </c>
      <c r="M190" s="4" t="s">
        <v>39</v>
      </c>
      <c r="N190" s="4" t="s">
        <v>26</v>
      </c>
      <c r="O190" s="6" t="s">
        <v>941</v>
      </c>
      <c r="P190" s="6">
        <f>IF(Table3[[#This Row],[Payment Status]]="Overdue",1,0)</f>
        <v>0</v>
      </c>
      <c r="Q190" s="11"/>
      <c r="R190" s="4" t="s">
        <v>20</v>
      </c>
      <c r="S190" s="4" t="s">
        <v>88</v>
      </c>
    </row>
    <row r="191" spans="1:19" x14ac:dyDescent="0.3">
      <c r="A191" s="4" t="s">
        <v>93</v>
      </c>
      <c r="B191" s="4" t="s">
        <v>197</v>
      </c>
      <c r="C191" s="26" t="s">
        <v>94</v>
      </c>
      <c r="D191" s="14">
        <v>45514</v>
      </c>
      <c r="E191" s="14">
        <v>45821</v>
      </c>
      <c r="F191" s="17" t="str">
        <f t="shared" si="2"/>
        <v>Aug-2024</v>
      </c>
      <c r="G191" s="2">
        <v>70566.460000000006</v>
      </c>
      <c r="H191" s="26" t="s">
        <v>941</v>
      </c>
      <c r="I191" s="32">
        <v>0</v>
      </c>
      <c r="J191" s="2">
        <v>0</v>
      </c>
      <c r="K191" s="4" t="s">
        <v>165</v>
      </c>
      <c r="L191" s="4" t="s">
        <v>940</v>
      </c>
      <c r="M191" s="4" t="s">
        <v>19</v>
      </c>
      <c r="N191" s="5" t="s">
        <v>942</v>
      </c>
      <c r="O191" s="4" t="s">
        <v>126</v>
      </c>
      <c r="P191" s="6">
        <f>IF(Table3[[#This Row],[Payment Status]]="Overdue",1,0)</f>
        <v>0</v>
      </c>
      <c r="Q191" s="10">
        <v>45837</v>
      </c>
      <c r="R191" s="4" t="s">
        <v>184</v>
      </c>
      <c r="S191" s="4" t="s">
        <v>63</v>
      </c>
    </row>
    <row r="192" spans="1:19" x14ac:dyDescent="0.3">
      <c r="A192" s="4" t="s">
        <v>613</v>
      </c>
      <c r="B192" s="4" t="s">
        <v>153</v>
      </c>
      <c r="C192" s="26" t="s">
        <v>614</v>
      </c>
      <c r="D192" s="14">
        <v>45473</v>
      </c>
      <c r="E192" s="14">
        <v>45809</v>
      </c>
      <c r="F192" s="17" t="str">
        <f t="shared" si="2"/>
        <v>Jun-2024</v>
      </c>
      <c r="G192" s="2">
        <v>61825.24</v>
      </c>
      <c r="H192" s="26" t="s">
        <v>941</v>
      </c>
      <c r="I192" s="32">
        <v>5</v>
      </c>
      <c r="J192" s="2">
        <v>3091.26</v>
      </c>
      <c r="K192" s="4" t="s">
        <v>53</v>
      </c>
      <c r="L192" s="4" t="s">
        <v>70</v>
      </c>
      <c r="M192" s="4" t="s">
        <v>19</v>
      </c>
      <c r="N192" s="4" t="s">
        <v>91</v>
      </c>
      <c r="O192" s="4" t="s">
        <v>27</v>
      </c>
      <c r="P192" s="6">
        <f>IF(Table3[[#This Row],[Payment Status]]="Overdue",1,0)</f>
        <v>0</v>
      </c>
      <c r="Q192" s="11"/>
      <c r="R192" s="4" t="s">
        <v>20</v>
      </c>
      <c r="S192" s="4" t="s">
        <v>88</v>
      </c>
    </row>
    <row r="193" spans="1:19" x14ac:dyDescent="0.3">
      <c r="A193" s="4" t="s">
        <v>587</v>
      </c>
      <c r="B193" s="4" t="s">
        <v>155</v>
      </c>
      <c r="C193" s="26" t="s">
        <v>588</v>
      </c>
      <c r="D193" s="14">
        <v>45460</v>
      </c>
      <c r="E193" s="14">
        <v>45551</v>
      </c>
      <c r="F193" s="17" t="str">
        <f t="shared" si="2"/>
        <v>Jun-2024</v>
      </c>
      <c r="G193" s="2">
        <v>72731.63</v>
      </c>
      <c r="H193" s="26" t="s">
        <v>941</v>
      </c>
      <c r="I193" s="32">
        <v>5</v>
      </c>
      <c r="J193" s="2">
        <v>3636.58</v>
      </c>
      <c r="K193" s="4" t="s">
        <v>33</v>
      </c>
      <c r="L193" s="4" t="s">
        <v>24</v>
      </c>
      <c r="M193" s="4" t="s">
        <v>39</v>
      </c>
      <c r="N193" s="5" t="s">
        <v>942</v>
      </c>
      <c r="O193" s="4" t="s">
        <v>939</v>
      </c>
      <c r="P193" s="6">
        <f>IF(Table3[[#This Row],[Payment Status]]="Overdue",1,0)</f>
        <v>0</v>
      </c>
      <c r="Q193" s="11"/>
      <c r="R193" s="4" t="s">
        <v>40</v>
      </c>
      <c r="S193" s="4" t="s">
        <v>85</v>
      </c>
    </row>
    <row r="194" spans="1:19" x14ac:dyDescent="0.3">
      <c r="A194" s="4" t="s">
        <v>747</v>
      </c>
      <c r="B194" s="4" t="s">
        <v>197</v>
      </c>
      <c r="C194" s="26" t="s">
        <v>748</v>
      </c>
      <c r="D194" s="14">
        <v>45412</v>
      </c>
      <c r="E194" s="14">
        <v>45883</v>
      </c>
      <c r="F194" s="17" t="str">
        <f t="shared" ref="F194:F257" si="3">TEXT(D194,"mmm-yyyy")</f>
        <v>Apr-2024</v>
      </c>
      <c r="G194" s="2">
        <v>28244.78</v>
      </c>
      <c r="H194" s="26" t="s">
        <v>941</v>
      </c>
      <c r="I194" s="32">
        <v>5</v>
      </c>
      <c r="J194" s="2">
        <v>1412.24</v>
      </c>
      <c r="K194" s="4" t="s">
        <v>44</v>
      </c>
      <c r="L194" s="4" t="s">
        <v>70</v>
      </c>
      <c r="M194" s="4" t="s">
        <v>61</v>
      </c>
      <c r="N194" s="4" t="s">
        <v>80</v>
      </c>
      <c r="O194" s="4" t="s">
        <v>92</v>
      </c>
      <c r="P194" s="6">
        <f>IF(Table3[[#This Row],[Payment Status]]="Overdue",1,0)</f>
        <v>1</v>
      </c>
      <c r="Q194" s="11"/>
      <c r="R194" s="4" t="s">
        <v>20</v>
      </c>
      <c r="S194" s="4" t="s">
        <v>88</v>
      </c>
    </row>
    <row r="195" spans="1:19" x14ac:dyDescent="0.3">
      <c r="A195" s="4" t="s">
        <v>568</v>
      </c>
      <c r="B195" s="4" t="s">
        <v>128</v>
      </c>
      <c r="C195" s="26" t="s">
        <v>565</v>
      </c>
      <c r="D195" s="14">
        <v>45968</v>
      </c>
      <c r="F195" s="17" t="str">
        <f t="shared" si="3"/>
        <v>Nov-2025</v>
      </c>
      <c r="G195" s="2">
        <v>44666.23</v>
      </c>
      <c r="H195" s="26" t="s">
        <v>941</v>
      </c>
      <c r="I195" s="32">
        <v>0</v>
      </c>
      <c r="J195" s="2">
        <v>0</v>
      </c>
      <c r="K195" s="4" t="s">
        <v>33</v>
      </c>
      <c r="L195" s="4" t="s">
        <v>79</v>
      </c>
      <c r="M195" s="4" t="s">
        <v>61</v>
      </c>
      <c r="N195" s="5" t="s">
        <v>942</v>
      </c>
      <c r="O195" s="4" t="s">
        <v>92</v>
      </c>
      <c r="P195" s="6">
        <f>IF(Table3[[#This Row],[Payment Status]]="Overdue",1,0)</f>
        <v>1</v>
      </c>
      <c r="Q195" s="11"/>
      <c r="R195" s="4" t="s">
        <v>62</v>
      </c>
      <c r="S195" s="5" t="s">
        <v>941</v>
      </c>
    </row>
    <row r="196" spans="1:19" x14ac:dyDescent="0.3">
      <c r="A196" s="4" t="s">
        <v>740</v>
      </c>
      <c r="B196" s="4" t="s">
        <v>121</v>
      </c>
      <c r="C196" s="26" t="s">
        <v>741</v>
      </c>
      <c r="D196" s="14">
        <v>45996</v>
      </c>
      <c r="F196" s="17" t="str">
        <f t="shared" si="3"/>
        <v>Dec-2025</v>
      </c>
      <c r="G196" s="2">
        <v>60273.61</v>
      </c>
      <c r="H196" s="26" t="s">
        <v>941</v>
      </c>
      <c r="I196" s="32">
        <v>18</v>
      </c>
      <c r="J196" s="2">
        <v>10849.25</v>
      </c>
      <c r="K196" s="4" t="s">
        <v>165</v>
      </c>
      <c r="L196" s="4" t="s">
        <v>34</v>
      </c>
      <c r="M196" s="4" t="s">
        <v>55</v>
      </c>
      <c r="N196" s="5" t="s">
        <v>942</v>
      </c>
      <c r="O196" s="4" t="s">
        <v>92</v>
      </c>
      <c r="P196" s="6">
        <f>IF(Table3[[#This Row],[Payment Status]]="Overdue",1,0)</f>
        <v>1</v>
      </c>
      <c r="R196" s="4" t="s">
        <v>57</v>
      </c>
      <c r="S196" s="4" t="s">
        <v>63</v>
      </c>
    </row>
    <row r="197" spans="1:19" x14ac:dyDescent="0.3">
      <c r="A197" s="4" t="s">
        <v>86</v>
      </c>
      <c r="B197" s="4" t="s">
        <v>47</v>
      </c>
      <c r="C197" s="26" t="s">
        <v>87</v>
      </c>
      <c r="D197" s="14">
        <v>45772</v>
      </c>
      <c r="E197" s="14">
        <v>45902</v>
      </c>
      <c r="F197" s="17" t="str">
        <f t="shared" si="3"/>
        <v>Apr-2025</v>
      </c>
      <c r="G197" s="2">
        <v>81615.570000000007</v>
      </c>
      <c r="H197" s="26" t="s">
        <v>941</v>
      </c>
      <c r="I197" s="32">
        <v>18</v>
      </c>
      <c r="J197" s="2">
        <v>14690.8</v>
      </c>
      <c r="K197" s="4" t="s">
        <v>73</v>
      </c>
      <c r="L197" s="4" t="s">
        <v>54</v>
      </c>
      <c r="M197" s="4" t="s">
        <v>39</v>
      </c>
      <c r="N197" s="5" t="s">
        <v>942</v>
      </c>
      <c r="O197" s="4" t="s">
        <v>92</v>
      </c>
      <c r="P197" s="6">
        <f>IF(Table3[[#This Row],[Payment Status]]="Overdue",1,0)</f>
        <v>1</v>
      </c>
      <c r="Q197" s="11"/>
      <c r="R197" s="4" t="s">
        <v>20</v>
      </c>
      <c r="S197" s="4" t="s">
        <v>88</v>
      </c>
    </row>
    <row r="198" spans="1:19" x14ac:dyDescent="0.3">
      <c r="A198" s="4" t="s">
        <v>205</v>
      </c>
      <c r="B198" s="4" t="s">
        <v>206</v>
      </c>
      <c r="C198" s="26" t="s">
        <v>207</v>
      </c>
      <c r="D198" s="14">
        <v>45478</v>
      </c>
      <c r="F198" s="17" t="str">
        <f t="shared" si="3"/>
        <v>Jul-2024</v>
      </c>
      <c r="G198" s="2">
        <v>28927.08</v>
      </c>
      <c r="H198" s="26" t="s">
        <v>941</v>
      </c>
      <c r="I198" s="32">
        <v>5</v>
      </c>
      <c r="J198" s="2">
        <v>1446.35</v>
      </c>
      <c r="K198" s="4" t="s">
        <v>66</v>
      </c>
      <c r="L198" s="4" t="s">
        <v>940</v>
      </c>
      <c r="M198" s="4" t="s">
        <v>25</v>
      </c>
      <c r="N198" s="4" t="s">
        <v>117</v>
      </c>
      <c r="O198" s="4" t="s">
        <v>92</v>
      </c>
      <c r="P198" s="6">
        <f>IF(Table3[[#This Row],[Payment Status]]="Overdue",1,0)</f>
        <v>1</v>
      </c>
      <c r="Q198" s="11"/>
      <c r="R198" s="4" t="s">
        <v>20</v>
      </c>
      <c r="S198" s="4" t="s">
        <v>63</v>
      </c>
    </row>
    <row r="199" spans="1:19" x14ac:dyDescent="0.3">
      <c r="A199" s="4" t="s">
        <v>248</v>
      </c>
      <c r="B199" s="4" t="s">
        <v>197</v>
      </c>
      <c r="C199" s="26" t="s">
        <v>249</v>
      </c>
      <c r="D199" s="14">
        <v>45479</v>
      </c>
      <c r="E199" s="14">
        <v>45498</v>
      </c>
      <c r="F199" s="17" t="str">
        <f t="shared" si="3"/>
        <v>Jul-2024</v>
      </c>
      <c r="G199" s="2">
        <v>43083.65</v>
      </c>
      <c r="H199" s="26" t="s">
        <v>941</v>
      </c>
      <c r="I199" s="32">
        <v>5</v>
      </c>
      <c r="J199" s="2">
        <v>2154.1799999999998</v>
      </c>
      <c r="K199" s="4" t="s">
        <v>230</v>
      </c>
      <c r="L199" s="4" t="s">
        <v>70</v>
      </c>
      <c r="M199" s="4" t="s">
        <v>39</v>
      </c>
      <c r="N199" s="4" t="s">
        <v>26</v>
      </c>
      <c r="O199" s="6" t="s">
        <v>941</v>
      </c>
      <c r="P199" s="6">
        <f>IF(Table3[[#This Row],[Payment Status]]="Overdue",1,0)</f>
        <v>0</v>
      </c>
      <c r="Q199" s="11"/>
      <c r="R199" s="4" t="s">
        <v>28</v>
      </c>
      <c r="S199" s="4" t="s">
        <v>29</v>
      </c>
    </row>
    <row r="200" spans="1:19" x14ac:dyDescent="0.3">
      <c r="A200" s="4" t="s">
        <v>349</v>
      </c>
      <c r="B200" s="4" t="s">
        <v>924</v>
      </c>
      <c r="C200" s="26" t="s">
        <v>350</v>
      </c>
      <c r="D200" s="14">
        <v>45876</v>
      </c>
      <c r="F200" s="17" t="str">
        <f t="shared" si="3"/>
        <v>Aug-2025</v>
      </c>
      <c r="G200" s="2">
        <v>8898.2800000000007</v>
      </c>
      <c r="H200" s="26" t="s">
        <v>941</v>
      </c>
      <c r="I200" s="32">
        <v>0</v>
      </c>
      <c r="J200" s="2">
        <v>0</v>
      </c>
      <c r="K200" s="5" t="s">
        <v>66</v>
      </c>
      <c r="L200" s="4" t="s">
        <v>79</v>
      </c>
      <c r="M200" s="4" t="s">
        <v>39</v>
      </c>
      <c r="N200" s="4" t="s">
        <v>35</v>
      </c>
      <c r="O200" s="6" t="s">
        <v>941</v>
      </c>
      <c r="P200" s="6">
        <f>IF(Table3[[#This Row],[Payment Status]]="Overdue",1,0)</f>
        <v>0</v>
      </c>
      <c r="Q200" s="11"/>
      <c r="R200" s="4" t="s">
        <v>20</v>
      </c>
      <c r="S200" s="4" t="s">
        <v>63</v>
      </c>
    </row>
    <row r="201" spans="1:19" x14ac:dyDescent="0.3">
      <c r="A201" s="4" t="s">
        <v>853</v>
      </c>
      <c r="B201" s="4" t="s">
        <v>137</v>
      </c>
      <c r="C201" s="27"/>
      <c r="D201" s="14">
        <v>45569</v>
      </c>
      <c r="E201" s="14">
        <v>45588</v>
      </c>
      <c r="F201" s="17" t="str">
        <f t="shared" si="3"/>
        <v>Oct-2024</v>
      </c>
      <c r="G201" s="2">
        <v>48860.94</v>
      </c>
      <c r="H201" s="26" t="s">
        <v>941</v>
      </c>
      <c r="I201" s="32">
        <v>18</v>
      </c>
      <c r="J201" s="2">
        <v>8794.9699999999993</v>
      </c>
      <c r="K201" s="4" t="s">
        <v>165</v>
      </c>
      <c r="L201" s="4" t="s">
        <v>24</v>
      </c>
      <c r="M201" s="4" t="s">
        <v>55</v>
      </c>
      <c r="N201" s="5" t="s">
        <v>942</v>
      </c>
      <c r="O201" s="4" t="s">
        <v>92</v>
      </c>
      <c r="P201" s="6">
        <f>IF(Table3[[#This Row],[Payment Status]]="Overdue",1,0)</f>
        <v>1</v>
      </c>
      <c r="Q201" s="11"/>
      <c r="R201" s="4" t="s">
        <v>28</v>
      </c>
      <c r="S201" s="5" t="s">
        <v>941</v>
      </c>
    </row>
    <row r="202" spans="1:19" x14ac:dyDescent="0.3">
      <c r="A202" s="4" t="s">
        <v>296</v>
      </c>
      <c r="B202" s="4" t="s">
        <v>137</v>
      </c>
      <c r="C202" s="26" t="s">
        <v>297</v>
      </c>
      <c r="D202" s="14">
        <v>45703</v>
      </c>
      <c r="E202" s="14">
        <v>45768</v>
      </c>
      <c r="F202" s="17" t="str">
        <f t="shared" si="3"/>
        <v>Feb-2025</v>
      </c>
      <c r="G202" s="2">
        <v>69120.41</v>
      </c>
      <c r="H202" s="26" t="s">
        <v>941</v>
      </c>
      <c r="I202" s="32">
        <v>18</v>
      </c>
      <c r="J202" s="2">
        <v>12441.67</v>
      </c>
      <c r="K202" s="4" t="s">
        <v>143</v>
      </c>
      <c r="L202" s="4" t="s">
        <v>70</v>
      </c>
      <c r="M202" s="4" t="s">
        <v>55</v>
      </c>
      <c r="N202" s="5" t="s">
        <v>942</v>
      </c>
      <c r="O202" s="4" t="s">
        <v>92</v>
      </c>
      <c r="P202" s="6">
        <f>IF(Table3[[#This Row],[Payment Status]]="Overdue",1,0)</f>
        <v>1</v>
      </c>
      <c r="Q202" s="11"/>
      <c r="R202" s="4" t="s">
        <v>28</v>
      </c>
      <c r="S202" s="4" t="s">
        <v>41</v>
      </c>
    </row>
    <row r="203" spans="1:19" x14ac:dyDescent="0.3">
      <c r="A203" s="4" t="s">
        <v>172</v>
      </c>
      <c r="B203" s="4" t="s">
        <v>153</v>
      </c>
      <c r="C203" s="26" t="s">
        <v>173</v>
      </c>
      <c r="D203" s="14">
        <v>45422</v>
      </c>
      <c r="E203" s="14">
        <v>45466</v>
      </c>
      <c r="F203" s="17" t="str">
        <f t="shared" si="3"/>
        <v>May-2024</v>
      </c>
      <c r="G203" s="2">
        <v>51436.75</v>
      </c>
      <c r="H203" s="26" t="s">
        <v>941</v>
      </c>
      <c r="I203" s="32">
        <v>12</v>
      </c>
      <c r="J203" s="2">
        <v>6172.41</v>
      </c>
      <c r="K203" s="4" t="s">
        <v>165</v>
      </c>
      <c r="L203" s="4" t="s">
        <v>98</v>
      </c>
      <c r="M203" s="4" t="s">
        <v>39</v>
      </c>
      <c r="N203" s="4" t="s">
        <v>91</v>
      </c>
      <c r="O203" s="4" t="s">
        <v>126</v>
      </c>
      <c r="P203" s="6">
        <f>IF(Table3[[#This Row],[Payment Status]]="Overdue",1,0)</f>
        <v>0</v>
      </c>
      <c r="Q203" s="10">
        <v>45526</v>
      </c>
      <c r="R203" s="4" t="s">
        <v>184</v>
      </c>
      <c r="S203" s="4" t="s">
        <v>63</v>
      </c>
    </row>
    <row r="204" spans="1:19" x14ac:dyDescent="0.3">
      <c r="A204" s="4" t="s">
        <v>162</v>
      </c>
      <c r="B204" s="4" t="s">
        <v>163</v>
      </c>
      <c r="C204" s="26" t="s">
        <v>164</v>
      </c>
      <c r="D204" s="14">
        <v>45379</v>
      </c>
      <c r="E204" s="14">
        <v>45790</v>
      </c>
      <c r="F204" s="17" t="str">
        <f t="shared" si="3"/>
        <v>Mar-2024</v>
      </c>
      <c r="G204" s="2">
        <v>39427.78</v>
      </c>
      <c r="H204" s="26" t="s">
        <v>941</v>
      </c>
      <c r="I204" s="32">
        <v>5</v>
      </c>
      <c r="J204" s="2">
        <v>1971.39</v>
      </c>
      <c r="K204" s="4" t="s">
        <v>165</v>
      </c>
      <c r="L204" s="4" t="s">
        <v>940</v>
      </c>
      <c r="M204" s="4" t="s">
        <v>941</v>
      </c>
      <c r="N204" s="4" t="s">
        <v>80</v>
      </c>
      <c r="O204" s="6" t="s">
        <v>941</v>
      </c>
      <c r="P204" s="6">
        <f>IF(Table3[[#This Row],[Payment Status]]="Overdue",1,0)</f>
        <v>0</v>
      </c>
      <c r="Q204" s="11"/>
      <c r="R204" s="4" t="s">
        <v>20</v>
      </c>
      <c r="S204" s="4" t="s">
        <v>63</v>
      </c>
    </row>
    <row r="205" spans="1:19" x14ac:dyDescent="0.3">
      <c r="A205" s="4" t="s">
        <v>732</v>
      </c>
      <c r="B205" s="4" t="s">
        <v>137</v>
      </c>
      <c r="C205" s="26" t="s">
        <v>733</v>
      </c>
      <c r="D205" s="14">
        <v>45484</v>
      </c>
      <c r="E205" s="14">
        <v>45689</v>
      </c>
      <c r="F205" s="17" t="str">
        <f t="shared" si="3"/>
        <v>Jul-2024</v>
      </c>
      <c r="G205" s="2">
        <v>73602.92</v>
      </c>
      <c r="H205" s="26" t="s">
        <v>941</v>
      </c>
      <c r="I205" s="32">
        <v>18</v>
      </c>
      <c r="J205" s="2">
        <v>13248.53</v>
      </c>
      <c r="K205" s="4" t="s">
        <v>53</v>
      </c>
      <c r="L205" s="4" t="s">
        <v>66</v>
      </c>
      <c r="M205" s="4" t="s">
        <v>25</v>
      </c>
      <c r="N205" s="4" t="s">
        <v>100</v>
      </c>
      <c r="O205" s="4" t="s">
        <v>111</v>
      </c>
      <c r="P205" s="6">
        <f>IF(Table3[[#This Row],[Payment Status]]="Overdue",1,0)</f>
        <v>0</v>
      </c>
      <c r="Q205" s="11"/>
      <c r="R205" s="4" t="s">
        <v>184</v>
      </c>
      <c r="S205" s="4" t="s">
        <v>41</v>
      </c>
    </row>
    <row r="206" spans="1:19" x14ac:dyDescent="0.3">
      <c r="A206" s="4" t="s">
        <v>463</v>
      </c>
      <c r="B206" s="4" t="s">
        <v>155</v>
      </c>
      <c r="C206" s="27"/>
      <c r="D206" s="14">
        <v>45718</v>
      </c>
      <c r="E206" s="14">
        <v>45805</v>
      </c>
      <c r="F206" s="17" t="str">
        <f t="shared" si="3"/>
        <v>Mar-2025</v>
      </c>
      <c r="G206" s="2">
        <v>79206.570000000007</v>
      </c>
      <c r="H206" s="26" t="s">
        <v>941</v>
      </c>
      <c r="I206" s="32">
        <v>18</v>
      </c>
      <c r="J206" s="2">
        <v>14257.18</v>
      </c>
      <c r="K206" s="4" t="s">
        <v>44</v>
      </c>
      <c r="L206" s="4" t="s">
        <v>940</v>
      </c>
      <c r="M206" s="4" t="s">
        <v>61</v>
      </c>
      <c r="N206" s="5" t="s">
        <v>942</v>
      </c>
      <c r="O206" s="4" t="s">
        <v>92</v>
      </c>
      <c r="P206" s="6">
        <f>IF(Table3[[#This Row],[Payment Status]]="Overdue",1,0)</f>
        <v>1</v>
      </c>
      <c r="Q206" s="11"/>
      <c r="R206" s="4" t="s">
        <v>941</v>
      </c>
      <c r="S206" s="4" t="s">
        <v>41</v>
      </c>
    </row>
    <row r="207" spans="1:19" x14ac:dyDescent="0.3">
      <c r="A207" s="4" t="s">
        <v>920</v>
      </c>
      <c r="B207" s="4" t="s">
        <v>128</v>
      </c>
      <c r="C207" s="26" t="s">
        <v>861</v>
      </c>
      <c r="D207" s="14">
        <v>45649</v>
      </c>
      <c r="E207" s="14">
        <v>45790</v>
      </c>
      <c r="F207" s="17" t="str">
        <f t="shared" si="3"/>
        <v>Dec-2024</v>
      </c>
      <c r="G207" s="2">
        <v>7333.69</v>
      </c>
      <c r="H207" s="26" t="s">
        <v>941</v>
      </c>
      <c r="I207" s="32">
        <v>18</v>
      </c>
      <c r="J207" s="2">
        <v>1320.06</v>
      </c>
      <c r="K207" s="4" t="s">
        <v>73</v>
      </c>
      <c r="L207" s="4" t="s">
        <v>34</v>
      </c>
      <c r="M207" s="4" t="s">
        <v>25</v>
      </c>
      <c r="N207" s="5" t="s">
        <v>942</v>
      </c>
      <c r="O207" s="4" t="s">
        <v>126</v>
      </c>
      <c r="P207" s="6">
        <f>IF(Table3[[#This Row],[Payment Status]]="Overdue",1,0)</f>
        <v>0</v>
      </c>
      <c r="Q207" s="10">
        <v>45825</v>
      </c>
      <c r="R207" s="4" t="s">
        <v>184</v>
      </c>
      <c r="S207" s="4" t="s">
        <v>29</v>
      </c>
    </row>
    <row r="208" spans="1:19" x14ac:dyDescent="0.3">
      <c r="A208" s="4" t="s">
        <v>589</v>
      </c>
      <c r="B208" s="4" t="s">
        <v>206</v>
      </c>
      <c r="C208" s="26" t="s">
        <v>590</v>
      </c>
      <c r="D208" s="14">
        <v>45718</v>
      </c>
      <c r="E208" s="14">
        <v>45886</v>
      </c>
      <c r="F208" s="17" t="str">
        <f t="shared" si="3"/>
        <v>Mar-2025</v>
      </c>
      <c r="G208" s="2">
        <v>12206.12</v>
      </c>
      <c r="H208" s="26" t="s">
        <v>941</v>
      </c>
      <c r="I208" s="32">
        <v>28</v>
      </c>
      <c r="J208" s="2">
        <v>3417.71</v>
      </c>
      <c r="K208" s="4" t="s">
        <v>73</v>
      </c>
      <c r="L208" s="4" t="s">
        <v>60</v>
      </c>
      <c r="M208" s="4" t="s">
        <v>61</v>
      </c>
      <c r="N208" s="5" t="s">
        <v>942</v>
      </c>
      <c r="O208" s="4" t="s">
        <v>941</v>
      </c>
      <c r="P208" s="6">
        <f>IF(Table3[[#This Row],[Payment Status]]="Overdue",1,0)</f>
        <v>0</v>
      </c>
      <c r="Q208" s="11"/>
      <c r="R208" s="4" t="s">
        <v>62</v>
      </c>
      <c r="S208" s="4" t="s">
        <v>29</v>
      </c>
    </row>
    <row r="209" spans="1:19" x14ac:dyDescent="0.3">
      <c r="A209" s="4" t="s">
        <v>526</v>
      </c>
      <c r="B209" s="4" t="s">
        <v>924</v>
      </c>
      <c r="C209" s="26" t="s">
        <v>527</v>
      </c>
      <c r="D209" s="14">
        <v>45672</v>
      </c>
      <c r="E209" s="22"/>
      <c r="F209" s="18" t="str">
        <f t="shared" si="3"/>
        <v>Jan-2025</v>
      </c>
      <c r="G209" s="2">
        <v>22248.6</v>
      </c>
      <c r="H209" s="26" t="s">
        <v>941</v>
      </c>
      <c r="I209" s="32">
        <v>18</v>
      </c>
      <c r="J209" s="2">
        <v>4004.75</v>
      </c>
      <c r="K209" s="4" t="s">
        <v>73</v>
      </c>
      <c r="L209" s="4" t="s">
        <v>60</v>
      </c>
      <c r="M209" s="4" t="s">
        <v>39</v>
      </c>
      <c r="N209" s="4" t="s">
        <v>35</v>
      </c>
      <c r="O209" s="4" t="s">
        <v>126</v>
      </c>
      <c r="P209" s="6">
        <f>IF(Table3[[#This Row],[Payment Status]]="Overdue",1,0)</f>
        <v>0</v>
      </c>
      <c r="Q209" s="10">
        <v>45643</v>
      </c>
      <c r="R209" s="4" t="s">
        <v>62</v>
      </c>
      <c r="S209" s="4" t="s">
        <v>63</v>
      </c>
    </row>
    <row r="210" spans="1:19" x14ac:dyDescent="0.3">
      <c r="A210" s="4" t="s">
        <v>570</v>
      </c>
      <c r="B210" s="4" t="s">
        <v>153</v>
      </c>
      <c r="C210" s="26" t="s">
        <v>571</v>
      </c>
      <c r="D210" s="14">
        <v>45471</v>
      </c>
      <c r="E210" s="14">
        <v>45838</v>
      </c>
      <c r="F210" s="17" t="str">
        <f t="shared" si="3"/>
        <v>Jun-2024</v>
      </c>
      <c r="G210" s="2">
        <v>41295.339999999997</v>
      </c>
      <c r="H210" s="26" t="s">
        <v>941</v>
      </c>
      <c r="I210" s="32">
        <v>12</v>
      </c>
      <c r="J210" s="2">
        <v>4955.4399999999996</v>
      </c>
      <c r="K210" s="4" t="s">
        <v>165</v>
      </c>
      <c r="L210" s="4" t="s">
        <v>34</v>
      </c>
      <c r="M210" s="4" t="s">
        <v>941</v>
      </c>
      <c r="N210" s="4" t="s">
        <v>56</v>
      </c>
      <c r="O210" s="4" t="s">
        <v>111</v>
      </c>
      <c r="P210" s="6">
        <f>IF(Table3[[#This Row],[Payment Status]]="Overdue",1,0)</f>
        <v>0</v>
      </c>
      <c r="Q210" s="11"/>
      <c r="R210" s="4" t="s">
        <v>941</v>
      </c>
      <c r="S210" s="4" t="s">
        <v>63</v>
      </c>
    </row>
    <row r="211" spans="1:19" x14ac:dyDescent="0.3">
      <c r="A211" s="4" t="s">
        <v>241</v>
      </c>
      <c r="B211" s="4" t="s">
        <v>153</v>
      </c>
      <c r="C211" s="26" t="s">
        <v>242</v>
      </c>
      <c r="D211" s="14">
        <v>45693</v>
      </c>
      <c r="E211" s="14">
        <v>45842</v>
      </c>
      <c r="F211" s="17" t="str">
        <f t="shared" si="3"/>
        <v>Feb-2025</v>
      </c>
      <c r="G211" s="2">
        <v>19976.16</v>
      </c>
      <c r="H211" s="26" t="s">
        <v>941</v>
      </c>
      <c r="I211" s="32">
        <v>12</v>
      </c>
      <c r="J211" s="2">
        <v>2397.14</v>
      </c>
      <c r="K211" s="4" t="s">
        <v>165</v>
      </c>
      <c r="L211" s="4" t="s">
        <v>940</v>
      </c>
      <c r="M211" s="4" t="s">
        <v>19</v>
      </c>
      <c r="N211" s="4" t="s">
        <v>100</v>
      </c>
      <c r="O211" s="4" t="s">
        <v>111</v>
      </c>
      <c r="P211" s="6">
        <f>IF(Table3[[#This Row],[Payment Status]]="Overdue",1,0)</f>
        <v>0</v>
      </c>
      <c r="Q211" s="11"/>
      <c r="R211" s="4" t="s">
        <v>941</v>
      </c>
      <c r="S211" s="4" t="s">
        <v>41</v>
      </c>
    </row>
    <row r="212" spans="1:19" x14ac:dyDescent="0.3">
      <c r="A212" s="4" t="s">
        <v>452</v>
      </c>
      <c r="B212" s="4" t="s">
        <v>77</v>
      </c>
      <c r="C212" s="26" t="s">
        <v>453</v>
      </c>
      <c r="D212" s="14">
        <v>45387</v>
      </c>
      <c r="E212" s="14">
        <v>45698</v>
      </c>
      <c r="F212" s="17" t="str">
        <f t="shared" si="3"/>
        <v>Apr-2024</v>
      </c>
      <c r="G212" s="2">
        <v>7479.88</v>
      </c>
      <c r="H212" s="26" t="s">
        <v>941</v>
      </c>
      <c r="I212" s="32">
        <v>28</v>
      </c>
      <c r="J212" s="2">
        <v>2094.37</v>
      </c>
      <c r="K212" s="4" t="s">
        <v>66</v>
      </c>
      <c r="L212" s="4" t="s">
        <v>79</v>
      </c>
      <c r="M212" s="4" t="s">
        <v>941</v>
      </c>
      <c r="N212" s="4" t="s">
        <v>117</v>
      </c>
      <c r="O212" s="4" t="s">
        <v>126</v>
      </c>
      <c r="P212" s="6">
        <f>IF(Table3[[#This Row],[Payment Status]]="Overdue",1,0)</f>
        <v>0</v>
      </c>
      <c r="Q212" s="10">
        <v>45462</v>
      </c>
      <c r="R212" s="4" t="s">
        <v>941</v>
      </c>
      <c r="S212" s="4" t="s">
        <v>88</v>
      </c>
    </row>
    <row r="213" spans="1:19" x14ac:dyDescent="0.3">
      <c r="A213" s="4" t="s">
        <v>696</v>
      </c>
      <c r="B213" s="4" t="s">
        <v>141</v>
      </c>
      <c r="C213" s="26" t="s">
        <v>697</v>
      </c>
      <c r="D213" s="14">
        <v>45814</v>
      </c>
      <c r="E213" s="22"/>
      <c r="F213" s="18" t="str">
        <f t="shared" si="3"/>
        <v>Jun-2025</v>
      </c>
      <c r="G213" s="2">
        <v>51934.11</v>
      </c>
      <c r="H213" s="26" t="s">
        <v>941</v>
      </c>
      <c r="I213" s="32">
        <v>5</v>
      </c>
      <c r="J213" s="2">
        <v>2596.71</v>
      </c>
      <c r="K213" s="4" t="s">
        <v>66</v>
      </c>
      <c r="L213" s="4" t="s">
        <v>60</v>
      </c>
      <c r="M213" s="4" t="s">
        <v>19</v>
      </c>
      <c r="N213" s="4" t="s">
        <v>35</v>
      </c>
      <c r="O213" s="4" t="s">
        <v>941</v>
      </c>
      <c r="P213" s="6">
        <f>IF(Table3[[#This Row],[Payment Status]]="Overdue",1,0)</f>
        <v>0</v>
      </c>
      <c r="Q213" s="11"/>
      <c r="R213" s="4" t="s">
        <v>40</v>
      </c>
      <c r="S213" s="4" t="s">
        <v>67</v>
      </c>
    </row>
    <row r="214" spans="1:19" x14ac:dyDescent="0.3">
      <c r="A214" s="4" t="s">
        <v>37</v>
      </c>
      <c r="B214" s="4" t="s">
        <v>128</v>
      </c>
      <c r="C214" s="26" t="s">
        <v>38</v>
      </c>
      <c r="D214" s="14">
        <v>45363</v>
      </c>
      <c r="E214" s="14">
        <v>45449</v>
      </c>
      <c r="F214" s="17" t="str">
        <f t="shared" si="3"/>
        <v>Mar-2024</v>
      </c>
      <c r="G214" s="2">
        <v>464.26</v>
      </c>
      <c r="H214" s="26" t="s">
        <v>941</v>
      </c>
      <c r="I214" s="32">
        <v>18</v>
      </c>
      <c r="J214" s="2">
        <v>83.57</v>
      </c>
      <c r="K214" s="4" t="s">
        <v>143</v>
      </c>
      <c r="L214" s="4" t="s">
        <v>24</v>
      </c>
      <c r="M214" s="4" t="s">
        <v>39</v>
      </c>
      <c r="N214" s="5" t="s">
        <v>942</v>
      </c>
      <c r="O214" s="4" t="s">
        <v>126</v>
      </c>
      <c r="P214" s="6">
        <f>IF(Table3[[#This Row],[Payment Status]]="Overdue",1,0)</f>
        <v>0</v>
      </c>
      <c r="Q214" s="10">
        <v>45672</v>
      </c>
      <c r="R214" s="4" t="s">
        <v>40</v>
      </c>
      <c r="S214" s="4" t="s">
        <v>41</v>
      </c>
    </row>
    <row r="215" spans="1:19" x14ac:dyDescent="0.3">
      <c r="A215" s="4" t="s">
        <v>608</v>
      </c>
      <c r="B215" s="4" t="s">
        <v>311</v>
      </c>
      <c r="C215" s="26" t="s">
        <v>609</v>
      </c>
      <c r="D215" s="14">
        <v>45499</v>
      </c>
      <c r="E215" s="14">
        <v>45681</v>
      </c>
      <c r="F215" s="17" t="str">
        <f t="shared" si="3"/>
        <v>Jul-2024</v>
      </c>
      <c r="G215" s="2">
        <v>82243.47</v>
      </c>
      <c r="H215" s="26" t="s">
        <v>941</v>
      </c>
      <c r="I215" s="32">
        <v>0</v>
      </c>
      <c r="J215" s="2">
        <v>0</v>
      </c>
      <c r="K215" s="4" t="s">
        <v>143</v>
      </c>
      <c r="L215" s="4" t="s">
        <v>70</v>
      </c>
      <c r="M215" s="4" t="s">
        <v>25</v>
      </c>
      <c r="N215" s="4" t="s">
        <v>26</v>
      </c>
      <c r="O215" s="4" t="s">
        <v>126</v>
      </c>
      <c r="P215" s="6">
        <f>IF(Table3[[#This Row],[Payment Status]]="Overdue",1,0)</f>
        <v>0</v>
      </c>
      <c r="Q215" s="10">
        <v>45543</v>
      </c>
      <c r="R215" s="4" t="s">
        <v>40</v>
      </c>
      <c r="S215" s="4" t="s">
        <v>67</v>
      </c>
    </row>
    <row r="216" spans="1:19" x14ac:dyDescent="0.3">
      <c r="A216" s="4" t="s">
        <v>672</v>
      </c>
      <c r="B216" s="4" t="s">
        <v>197</v>
      </c>
      <c r="C216" s="26" t="s">
        <v>673</v>
      </c>
      <c r="D216" s="14">
        <v>45413</v>
      </c>
      <c r="E216" s="14">
        <v>45562</v>
      </c>
      <c r="F216" s="17" t="str">
        <f t="shared" si="3"/>
        <v>May-2024</v>
      </c>
      <c r="G216" s="2">
        <v>39042.730000000003</v>
      </c>
      <c r="H216" s="26" t="s">
        <v>52</v>
      </c>
      <c r="I216" s="32">
        <v>5</v>
      </c>
      <c r="J216" s="2">
        <v>1952.14</v>
      </c>
      <c r="K216" s="4" t="s">
        <v>106</v>
      </c>
      <c r="L216" s="4" t="s">
        <v>66</v>
      </c>
      <c r="M216" s="4" t="s">
        <v>25</v>
      </c>
      <c r="N216" s="4" t="s">
        <v>56</v>
      </c>
      <c r="O216" s="4" t="s">
        <v>27</v>
      </c>
      <c r="P216" s="6">
        <f>IF(Table3[[#This Row],[Payment Status]]="Overdue",1,0)</f>
        <v>0</v>
      </c>
      <c r="Q216" s="11"/>
      <c r="R216" s="4" t="s">
        <v>941</v>
      </c>
      <c r="S216" s="4" t="s">
        <v>29</v>
      </c>
    </row>
    <row r="217" spans="1:19" x14ac:dyDescent="0.3">
      <c r="A217" s="4" t="s">
        <v>81</v>
      </c>
      <c r="B217" s="4" t="s">
        <v>22</v>
      </c>
      <c r="C217" s="26" t="s">
        <v>82</v>
      </c>
      <c r="D217" s="14">
        <v>45399</v>
      </c>
      <c r="E217" s="14">
        <v>45400</v>
      </c>
      <c r="F217" s="17" t="str">
        <f t="shared" si="3"/>
        <v>Apr-2024</v>
      </c>
      <c r="G217" s="2">
        <v>67960.02</v>
      </c>
      <c r="H217" s="26" t="s">
        <v>52</v>
      </c>
      <c r="I217" s="32">
        <v>18</v>
      </c>
      <c r="J217" s="2">
        <v>12232.8</v>
      </c>
      <c r="K217" s="4" t="s">
        <v>33</v>
      </c>
      <c r="L217" s="4" t="s">
        <v>54</v>
      </c>
      <c r="M217" s="4" t="s">
        <v>55</v>
      </c>
      <c r="N217" s="5" t="s">
        <v>942</v>
      </c>
      <c r="O217" s="4" t="s">
        <v>939</v>
      </c>
      <c r="P217" s="6">
        <f>IF(Table3[[#This Row],[Payment Status]]="Overdue",1,0)</f>
        <v>0</v>
      </c>
      <c r="Q217" s="11"/>
      <c r="R217" s="4" t="s">
        <v>20</v>
      </c>
      <c r="S217" s="4" t="s">
        <v>63</v>
      </c>
    </row>
    <row r="218" spans="1:19" x14ac:dyDescent="0.3">
      <c r="A218" s="4" t="s">
        <v>843</v>
      </c>
      <c r="B218" s="4" t="s">
        <v>121</v>
      </c>
      <c r="C218" s="26" t="s">
        <v>844</v>
      </c>
      <c r="D218" s="14">
        <v>45382</v>
      </c>
      <c r="E218" s="14">
        <v>45386</v>
      </c>
      <c r="F218" s="17" t="str">
        <f t="shared" si="3"/>
        <v>Mar-2024</v>
      </c>
      <c r="G218" s="2">
        <v>29665.38</v>
      </c>
      <c r="H218" s="26" t="s">
        <v>18</v>
      </c>
      <c r="I218" s="32">
        <v>18</v>
      </c>
      <c r="J218" s="2">
        <v>5339.77</v>
      </c>
      <c r="K218" s="4" t="s">
        <v>73</v>
      </c>
      <c r="L218" s="4" t="s">
        <v>98</v>
      </c>
      <c r="M218" s="4" t="s">
        <v>19</v>
      </c>
      <c r="N218" s="4" t="s">
        <v>56</v>
      </c>
      <c r="O218" s="4" t="s">
        <v>939</v>
      </c>
      <c r="P218" s="6">
        <f>IF(Table3[[#This Row],[Payment Status]]="Overdue",1,0)</f>
        <v>0</v>
      </c>
      <c r="Q218" s="11"/>
      <c r="R218" s="4" t="s">
        <v>20</v>
      </c>
      <c r="S218" s="4" t="s">
        <v>67</v>
      </c>
    </row>
    <row r="219" spans="1:19" x14ac:dyDescent="0.3">
      <c r="A219" s="4" t="s">
        <v>540</v>
      </c>
      <c r="B219" s="4" t="s">
        <v>141</v>
      </c>
      <c r="C219" s="26" t="s">
        <v>541</v>
      </c>
      <c r="D219" s="14">
        <v>45834</v>
      </c>
      <c r="E219" s="14">
        <v>45923</v>
      </c>
      <c r="F219" s="17" t="str">
        <f t="shared" si="3"/>
        <v>Jun-2025</v>
      </c>
      <c r="G219" s="2">
        <v>3825.49</v>
      </c>
      <c r="H219" s="26" t="s">
        <v>72</v>
      </c>
      <c r="I219" s="32">
        <v>5</v>
      </c>
      <c r="J219" s="2">
        <v>191.27</v>
      </c>
      <c r="K219" s="4" t="s">
        <v>73</v>
      </c>
      <c r="L219" s="4" t="s">
        <v>45</v>
      </c>
      <c r="M219" s="4" t="s">
        <v>55</v>
      </c>
      <c r="N219" s="4" t="s">
        <v>100</v>
      </c>
      <c r="O219" s="4" t="s">
        <v>939</v>
      </c>
      <c r="P219" s="6">
        <f>IF(Table3[[#This Row],[Payment Status]]="Overdue",1,0)</f>
        <v>0</v>
      </c>
      <c r="Q219" s="11"/>
      <c r="R219" s="4" t="s">
        <v>941</v>
      </c>
      <c r="S219" s="4" t="s">
        <v>63</v>
      </c>
    </row>
    <row r="220" spans="1:19" x14ac:dyDescent="0.3">
      <c r="A220" s="4" t="s">
        <v>899</v>
      </c>
      <c r="B220" s="4" t="s">
        <v>31</v>
      </c>
      <c r="C220" s="26" t="s">
        <v>900</v>
      </c>
      <c r="D220" s="14">
        <v>45774</v>
      </c>
      <c r="E220" s="14">
        <v>45886</v>
      </c>
      <c r="F220" s="17" t="str">
        <f t="shared" si="3"/>
        <v>Apr-2025</v>
      </c>
      <c r="G220" s="2">
        <v>75707.98</v>
      </c>
      <c r="H220" s="26" t="s">
        <v>72</v>
      </c>
      <c r="I220" s="32">
        <v>18</v>
      </c>
      <c r="J220" s="2">
        <v>13627.44</v>
      </c>
      <c r="K220" s="4" t="s">
        <v>66</v>
      </c>
      <c r="L220" s="4" t="s">
        <v>98</v>
      </c>
      <c r="M220" s="4" t="s">
        <v>19</v>
      </c>
      <c r="N220" s="4" t="s">
        <v>80</v>
      </c>
      <c r="O220" s="4" t="s">
        <v>126</v>
      </c>
      <c r="P220" s="6">
        <f>IF(Table3[[#This Row],[Payment Status]]="Overdue",1,0)</f>
        <v>0</v>
      </c>
      <c r="Q220" s="10">
        <v>45838</v>
      </c>
      <c r="R220" s="4" t="s">
        <v>40</v>
      </c>
      <c r="S220" s="4" t="s">
        <v>88</v>
      </c>
    </row>
    <row r="221" spans="1:19" x14ac:dyDescent="0.3">
      <c r="A221" s="4" t="s">
        <v>661</v>
      </c>
      <c r="B221" s="4" t="s">
        <v>102</v>
      </c>
      <c r="C221" s="26" t="s">
        <v>930</v>
      </c>
      <c r="D221" s="14">
        <v>45727</v>
      </c>
      <c r="F221" s="17" t="str">
        <f t="shared" si="3"/>
        <v>Mar-2025</v>
      </c>
      <c r="G221" s="2">
        <v>68854.45</v>
      </c>
      <c r="H221" s="26" t="s">
        <v>18</v>
      </c>
      <c r="I221" s="32">
        <v>5</v>
      </c>
      <c r="J221" s="2">
        <v>3442.72</v>
      </c>
      <c r="K221" s="4" t="s">
        <v>53</v>
      </c>
      <c r="L221" s="4" t="s">
        <v>940</v>
      </c>
      <c r="M221" s="4" t="s">
        <v>25</v>
      </c>
      <c r="N221" s="4" t="s">
        <v>80</v>
      </c>
      <c r="O221" s="6" t="s">
        <v>941</v>
      </c>
      <c r="P221" s="6">
        <f>IF(Table3[[#This Row],[Payment Status]]="Overdue",1,0)</f>
        <v>0</v>
      </c>
      <c r="Q221" s="11"/>
      <c r="R221" s="4" t="s">
        <v>20</v>
      </c>
      <c r="S221" s="4" t="s">
        <v>67</v>
      </c>
    </row>
    <row r="222" spans="1:19" x14ac:dyDescent="0.3">
      <c r="A222" s="4" t="s">
        <v>152</v>
      </c>
      <c r="B222" s="4" t="s">
        <v>153</v>
      </c>
      <c r="C222" s="27"/>
      <c r="D222" s="14">
        <v>45394</v>
      </c>
      <c r="E222" s="14">
        <v>45433</v>
      </c>
      <c r="F222" s="17" t="str">
        <f t="shared" si="3"/>
        <v>Apr-2024</v>
      </c>
      <c r="G222" s="2">
        <v>15842.65</v>
      </c>
      <c r="H222" s="26" t="s">
        <v>18</v>
      </c>
      <c r="I222" s="32">
        <v>18</v>
      </c>
      <c r="J222" s="2">
        <v>2851.68</v>
      </c>
      <c r="K222" s="4" t="s">
        <v>44</v>
      </c>
      <c r="L222" s="4" t="s">
        <v>24</v>
      </c>
      <c r="M222" s="4" t="s">
        <v>55</v>
      </c>
      <c r="N222" s="5" t="s">
        <v>942</v>
      </c>
      <c r="O222" s="4" t="s">
        <v>939</v>
      </c>
      <c r="P222" s="6">
        <f>IF(Table3[[#This Row],[Payment Status]]="Overdue",1,0)</f>
        <v>0</v>
      </c>
      <c r="Q222" s="11"/>
      <c r="R222" s="4" t="s">
        <v>40</v>
      </c>
      <c r="S222" s="5" t="s">
        <v>941</v>
      </c>
    </row>
    <row r="223" spans="1:19" x14ac:dyDescent="0.3">
      <c r="A223" s="4" t="s">
        <v>734</v>
      </c>
      <c r="B223" s="4" t="s">
        <v>206</v>
      </c>
      <c r="C223" s="26" t="s">
        <v>735</v>
      </c>
      <c r="D223" s="14">
        <v>45350</v>
      </c>
      <c r="E223" s="14">
        <v>45405</v>
      </c>
      <c r="F223" s="17" t="str">
        <f t="shared" si="3"/>
        <v>Feb-2024</v>
      </c>
      <c r="G223" s="2">
        <v>52683.47</v>
      </c>
      <c r="H223" s="30" t="s">
        <v>941</v>
      </c>
      <c r="I223" s="32">
        <v>18</v>
      </c>
      <c r="J223" s="2">
        <v>9483.02</v>
      </c>
      <c r="K223" s="4" t="s">
        <v>44</v>
      </c>
      <c r="L223" s="4" t="s">
        <v>60</v>
      </c>
      <c r="M223" s="4" t="s">
        <v>61</v>
      </c>
      <c r="N223" s="4" t="s">
        <v>26</v>
      </c>
      <c r="O223" s="4" t="s">
        <v>27</v>
      </c>
      <c r="P223" s="6">
        <f>IF(Table3[[#This Row],[Payment Status]]="Overdue",1,0)</f>
        <v>0</v>
      </c>
      <c r="Q223" s="11"/>
      <c r="R223" s="4" t="s">
        <v>36</v>
      </c>
      <c r="S223" s="4" t="s">
        <v>41</v>
      </c>
    </row>
    <row r="224" spans="1:19" x14ac:dyDescent="0.3">
      <c r="A224" s="4" t="s">
        <v>751</v>
      </c>
      <c r="B224" s="4" t="s">
        <v>121</v>
      </c>
      <c r="C224" s="26" t="s">
        <v>752</v>
      </c>
      <c r="D224" s="14">
        <v>45831</v>
      </c>
      <c r="E224" s="14">
        <v>45891</v>
      </c>
      <c r="F224" s="17" t="str">
        <f t="shared" si="3"/>
        <v>Jun-2025</v>
      </c>
      <c r="G224" s="2">
        <v>60378.68</v>
      </c>
      <c r="H224" s="30" t="s">
        <v>941</v>
      </c>
      <c r="I224" s="32">
        <v>12</v>
      </c>
      <c r="J224" s="2">
        <v>7245.44</v>
      </c>
      <c r="K224" s="4" t="s">
        <v>97</v>
      </c>
      <c r="L224" s="4" t="s">
        <v>98</v>
      </c>
      <c r="M224" s="4" t="s">
        <v>19</v>
      </c>
      <c r="N224" s="4" t="s">
        <v>56</v>
      </c>
      <c r="O224" s="4" t="s">
        <v>126</v>
      </c>
      <c r="P224" s="6">
        <f>IF(Table3[[#This Row],[Payment Status]]="Overdue",1,0)</f>
        <v>0</v>
      </c>
      <c r="Q224" s="10">
        <v>45845</v>
      </c>
      <c r="R224" s="4" t="s">
        <v>184</v>
      </c>
      <c r="S224" s="4" t="s">
        <v>88</v>
      </c>
    </row>
    <row r="225" spans="1:19" x14ac:dyDescent="0.3">
      <c r="A225" s="4" t="s">
        <v>744</v>
      </c>
      <c r="B225" s="4" t="s">
        <v>311</v>
      </c>
      <c r="C225" s="26" t="s">
        <v>745</v>
      </c>
      <c r="D225" s="14">
        <v>45558</v>
      </c>
      <c r="E225" s="14">
        <v>45784</v>
      </c>
      <c r="F225" s="17" t="str">
        <f t="shared" si="3"/>
        <v>Sep-2024</v>
      </c>
      <c r="G225" s="2">
        <v>82515.94</v>
      </c>
      <c r="H225" s="30" t="s">
        <v>941</v>
      </c>
      <c r="I225" s="32">
        <v>12</v>
      </c>
      <c r="J225" s="2">
        <v>9901.91</v>
      </c>
      <c r="K225" s="4" t="s">
        <v>53</v>
      </c>
      <c r="L225" s="4" t="s">
        <v>70</v>
      </c>
      <c r="M225" s="4" t="s">
        <v>19</v>
      </c>
      <c r="N225" s="4" t="s">
        <v>80</v>
      </c>
      <c r="O225" s="4" t="s">
        <v>939</v>
      </c>
      <c r="P225" s="6">
        <f>IF(Table3[[#This Row],[Payment Status]]="Overdue",1,0)</f>
        <v>0</v>
      </c>
      <c r="Q225" s="11"/>
      <c r="R225" s="4" t="s">
        <v>20</v>
      </c>
      <c r="S225" s="4" t="s">
        <v>41</v>
      </c>
    </row>
    <row r="226" spans="1:19" x14ac:dyDescent="0.3">
      <c r="A226" s="4" t="s">
        <v>736</v>
      </c>
      <c r="B226" s="4" t="s">
        <v>206</v>
      </c>
      <c r="C226" s="26" t="s">
        <v>737</v>
      </c>
      <c r="D226" s="14">
        <v>45673</v>
      </c>
      <c r="F226" s="17" t="str">
        <f t="shared" si="3"/>
        <v>Jan-2025</v>
      </c>
      <c r="G226" s="2">
        <v>45429.599999999999</v>
      </c>
      <c r="H226" s="30" t="s">
        <v>941</v>
      </c>
      <c r="I226" s="32">
        <v>28</v>
      </c>
      <c r="J226" s="2">
        <v>12720.29</v>
      </c>
      <c r="K226" s="4" t="s">
        <v>44</v>
      </c>
      <c r="L226" s="4" t="s">
        <v>54</v>
      </c>
      <c r="M226" s="4" t="s">
        <v>941</v>
      </c>
      <c r="N226" s="4" t="s">
        <v>117</v>
      </c>
      <c r="O226" s="4" t="s">
        <v>27</v>
      </c>
      <c r="P226" s="6">
        <f>IF(Table3[[#This Row],[Payment Status]]="Overdue",1,0)</f>
        <v>0</v>
      </c>
      <c r="Q226" s="11"/>
      <c r="R226" s="4" t="s">
        <v>62</v>
      </c>
      <c r="S226" s="4" t="s">
        <v>88</v>
      </c>
    </row>
    <row r="227" spans="1:19" x14ac:dyDescent="0.3">
      <c r="A227" s="4" t="s">
        <v>538</v>
      </c>
      <c r="B227" s="4" t="s">
        <v>153</v>
      </c>
      <c r="C227" s="26" t="s">
        <v>539</v>
      </c>
      <c r="D227" s="14">
        <v>45407</v>
      </c>
      <c r="E227" s="14">
        <v>45801</v>
      </c>
      <c r="F227" s="17" t="str">
        <f t="shared" si="3"/>
        <v>Apr-2024</v>
      </c>
      <c r="G227" s="2">
        <v>11980.07</v>
      </c>
      <c r="H227" s="30" t="s">
        <v>941</v>
      </c>
      <c r="I227" s="32">
        <v>18</v>
      </c>
      <c r="J227" s="2">
        <v>2156.41</v>
      </c>
      <c r="K227" s="4" t="s">
        <v>33</v>
      </c>
      <c r="L227" s="4" t="s">
        <v>54</v>
      </c>
      <c r="M227" s="4" t="s">
        <v>25</v>
      </c>
      <c r="N227" s="4" t="s">
        <v>80</v>
      </c>
      <c r="O227" s="4" t="s">
        <v>939</v>
      </c>
      <c r="P227" s="6">
        <f>IF(Table3[[#This Row],[Payment Status]]="Overdue",1,0)</f>
        <v>0</v>
      </c>
      <c r="Q227" s="11"/>
      <c r="R227" s="4" t="s">
        <v>20</v>
      </c>
      <c r="S227" s="4" t="s">
        <v>85</v>
      </c>
    </row>
    <row r="228" spans="1:19" x14ac:dyDescent="0.3">
      <c r="A228" s="4" t="s">
        <v>516</v>
      </c>
      <c r="B228" s="4" t="s">
        <v>924</v>
      </c>
      <c r="C228" s="27"/>
      <c r="D228" s="14">
        <v>45349</v>
      </c>
      <c r="E228" s="14">
        <v>45604</v>
      </c>
      <c r="F228" s="17" t="str">
        <f t="shared" si="3"/>
        <v>Feb-2024</v>
      </c>
      <c r="G228" s="2">
        <v>33882.800000000003</v>
      </c>
      <c r="H228" s="30" t="s">
        <v>941</v>
      </c>
      <c r="I228" s="32">
        <v>18</v>
      </c>
      <c r="J228" s="2">
        <v>6098.9</v>
      </c>
      <c r="K228" s="4" t="s">
        <v>44</v>
      </c>
      <c r="L228" s="4" t="s">
        <v>60</v>
      </c>
      <c r="M228" s="4" t="s">
        <v>39</v>
      </c>
      <c r="N228" s="4" t="s">
        <v>117</v>
      </c>
      <c r="O228" s="4" t="s">
        <v>27</v>
      </c>
      <c r="P228" s="6">
        <f>IF(Table3[[#This Row],[Payment Status]]="Overdue",1,0)</f>
        <v>0</v>
      </c>
      <c r="Q228" s="11"/>
      <c r="R228" s="4" t="s">
        <v>184</v>
      </c>
      <c r="S228" s="4" t="s">
        <v>88</v>
      </c>
    </row>
    <row r="229" spans="1:19" x14ac:dyDescent="0.3">
      <c r="A229" s="4" t="s">
        <v>892</v>
      </c>
      <c r="B229" s="4" t="s">
        <v>924</v>
      </c>
      <c r="C229" s="26" t="s">
        <v>893</v>
      </c>
      <c r="D229" s="14">
        <v>45439</v>
      </c>
      <c r="E229" s="14">
        <v>45891</v>
      </c>
      <c r="F229" s="17" t="str">
        <f t="shared" si="3"/>
        <v>May-2024</v>
      </c>
      <c r="G229" s="2">
        <v>84014.25</v>
      </c>
      <c r="H229" s="30" t="s">
        <v>941</v>
      </c>
      <c r="I229" s="32">
        <v>28</v>
      </c>
      <c r="J229" s="2">
        <v>23523.99</v>
      </c>
      <c r="K229" s="4" t="s">
        <v>44</v>
      </c>
      <c r="L229" s="4" t="s">
        <v>66</v>
      </c>
      <c r="M229" s="4" t="s">
        <v>25</v>
      </c>
      <c r="N229" s="4" t="s">
        <v>35</v>
      </c>
      <c r="O229" s="4" t="s">
        <v>941</v>
      </c>
      <c r="P229" s="6">
        <f>IF(Table3[[#This Row],[Payment Status]]="Overdue",1,0)</f>
        <v>0</v>
      </c>
      <c r="Q229" s="11"/>
      <c r="R229" s="4" t="s">
        <v>184</v>
      </c>
      <c r="S229" s="4" t="s">
        <v>85</v>
      </c>
    </row>
    <row r="230" spans="1:19" x14ac:dyDescent="0.3">
      <c r="A230" s="4" t="s">
        <v>875</v>
      </c>
      <c r="B230" s="4" t="s">
        <v>141</v>
      </c>
      <c r="C230" s="26" t="s">
        <v>876</v>
      </c>
      <c r="D230" s="14">
        <v>45775</v>
      </c>
      <c r="F230" s="17" t="str">
        <f t="shared" si="3"/>
        <v>Apr-2025</v>
      </c>
      <c r="G230" s="2">
        <v>35545.75</v>
      </c>
      <c r="H230" s="30" t="s">
        <v>941</v>
      </c>
      <c r="I230" s="32">
        <v>5</v>
      </c>
      <c r="J230" s="2">
        <v>1777.29</v>
      </c>
      <c r="K230" s="4" t="s">
        <v>230</v>
      </c>
      <c r="L230" s="4" t="s">
        <v>45</v>
      </c>
      <c r="M230" s="4" t="s">
        <v>61</v>
      </c>
      <c r="N230" s="5" t="s">
        <v>942</v>
      </c>
      <c r="O230" s="4" t="s">
        <v>92</v>
      </c>
      <c r="P230" s="6">
        <f>IF(Table3[[#This Row],[Payment Status]]="Overdue",1,0)</f>
        <v>1</v>
      </c>
      <c r="Q230" s="11"/>
      <c r="R230" s="4" t="s">
        <v>62</v>
      </c>
      <c r="S230" s="4" t="s">
        <v>67</v>
      </c>
    </row>
    <row r="231" spans="1:19" x14ac:dyDescent="0.3">
      <c r="A231" s="4" t="s">
        <v>680</v>
      </c>
      <c r="B231" s="4" t="s">
        <v>197</v>
      </c>
      <c r="C231" s="27"/>
      <c r="D231" s="14">
        <v>45619</v>
      </c>
      <c r="E231" s="14">
        <v>45713</v>
      </c>
      <c r="F231" s="17" t="str">
        <f t="shared" si="3"/>
        <v>Nov-2024</v>
      </c>
      <c r="G231" s="2">
        <v>30474.16</v>
      </c>
      <c r="H231" s="30" t="s">
        <v>941</v>
      </c>
      <c r="I231" s="32">
        <v>18</v>
      </c>
      <c r="J231" s="2">
        <v>5485.35</v>
      </c>
      <c r="K231" s="4" t="s">
        <v>143</v>
      </c>
      <c r="L231" s="4" t="s">
        <v>70</v>
      </c>
      <c r="M231" s="4" t="s">
        <v>61</v>
      </c>
      <c r="N231" s="4" t="s">
        <v>100</v>
      </c>
      <c r="O231" s="4" t="s">
        <v>126</v>
      </c>
      <c r="P231" s="6">
        <f>IF(Table3[[#This Row],[Payment Status]]="Overdue",1,0)</f>
        <v>0</v>
      </c>
      <c r="Q231" s="10">
        <v>45662</v>
      </c>
      <c r="R231" s="4" t="s">
        <v>57</v>
      </c>
      <c r="S231" s="4" t="s">
        <v>41</v>
      </c>
    </row>
    <row r="232" spans="1:19" x14ac:dyDescent="0.3">
      <c r="A232" s="4" t="s">
        <v>826</v>
      </c>
      <c r="B232" s="4" t="s">
        <v>102</v>
      </c>
      <c r="C232" s="26" t="s">
        <v>827</v>
      </c>
      <c r="D232" s="14">
        <v>45673</v>
      </c>
      <c r="F232" s="17" t="str">
        <f t="shared" si="3"/>
        <v>Jan-2025</v>
      </c>
      <c r="G232" s="2">
        <v>29025.57</v>
      </c>
      <c r="H232" s="30" t="s">
        <v>941</v>
      </c>
      <c r="I232" s="32">
        <v>18</v>
      </c>
      <c r="J232" s="2">
        <v>5224.6000000000004</v>
      </c>
      <c r="K232" s="4" t="s">
        <v>44</v>
      </c>
      <c r="L232" s="4" t="s">
        <v>54</v>
      </c>
      <c r="M232" s="4" t="s">
        <v>55</v>
      </c>
      <c r="N232" s="4" t="s">
        <v>80</v>
      </c>
      <c r="O232" s="4" t="s">
        <v>111</v>
      </c>
      <c r="P232" s="6">
        <f>IF(Table3[[#This Row],[Payment Status]]="Overdue",1,0)</f>
        <v>0</v>
      </c>
      <c r="Q232" s="11"/>
      <c r="R232" s="4" t="s">
        <v>20</v>
      </c>
      <c r="S232" s="4" t="s">
        <v>63</v>
      </c>
    </row>
    <row r="233" spans="1:19" x14ac:dyDescent="0.3">
      <c r="A233" s="4" t="s">
        <v>468</v>
      </c>
      <c r="B233" s="4" t="s">
        <v>924</v>
      </c>
      <c r="C233" s="26" t="s">
        <v>469</v>
      </c>
      <c r="D233" s="14">
        <v>45642</v>
      </c>
      <c r="F233" s="17" t="str">
        <f t="shared" si="3"/>
        <v>Dec-2024</v>
      </c>
      <c r="G233" s="2">
        <v>2590.25</v>
      </c>
      <c r="H233" s="30" t="s">
        <v>941</v>
      </c>
      <c r="I233" s="32">
        <v>18</v>
      </c>
      <c r="J233" s="2">
        <v>466.25</v>
      </c>
      <c r="K233" s="4" t="s">
        <v>97</v>
      </c>
      <c r="L233" s="4" t="s">
        <v>60</v>
      </c>
      <c r="M233" s="4" t="s">
        <v>39</v>
      </c>
      <c r="N233" s="4" t="s">
        <v>26</v>
      </c>
      <c r="O233" s="4" t="s">
        <v>92</v>
      </c>
      <c r="P233" s="6">
        <f>IF(Table3[[#This Row],[Payment Status]]="Overdue",1,0)</f>
        <v>1</v>
      </c>
      <c r="R233" s="4" t="s">
        <v>20</v>
      </c>
      <c r="S233" s="4" t="s">
        <v>63</v>
      </c>
    </row>
    <row r="234" spans="1:19" x14ac:dyDescent="0.3">
      <c r="A234" s="4" t="s">
        <v>273</v>
      </c>
      <c r="B234" s="4" t="s">
        <v>924</v>
      </c>
      <c r="C234" s="26" t="s">
        <v>274</v>
      </c>
      <c r="D234" s="14">
        <v>45893</v>
      </c>
      <c r="F234" s="17" t="str">
        <f t="shared" si="3"/>
        <v>Aug-2025</v>
      </c>
      <c r="G234" s="2">
        <v>57050.46</v>
      </c>
      <c r="H234" s="30" t="s">
        <v>941</v>
      </c>
      <c r="I234" s="32">
        <v>18</v>
      </c>
      <c r="J234" s="2">
        <v>10269.08</v>
      </c>
      <c r="K234" s="4" t="s">
        <v>44</v>
      </c>
      <c r="L234" s="4" t="s">
        <v>45</v>
      </c>
      <c r="M234" s="4" t="s">
        <v>19</v>
      </c>
      <c r="N234" s="5" t="s">
        <v>942</v>
      </c>
      <c r="O234" s="4" t="s">
        <v>25</v>
      </c>
      <c r="P234" s="6">
        <f>IF(Table3[[#This Row],[Payment Status]]="Overdue",1,0)</f>
        <v>0</v>
      </c>
      <c r="Q234" s="11"/>
      <c r="R234" s="4" t="s">
        <v>20</v>
      </c>
      <c r="S234" s="4" t="s">
        <v>63</v>
      </c>
    </row>
    <row r="235" spans="1:19" x14ac:dyDescent="0.3">
      <c r="A235" s="4" t="s">
        <v>148</v>
      </c>
      <c r="B235" s="4" t="s">
        <v>77</v>
      </c>
      <c r="C235" s="26" t="s">
        <v>149</v>
      </c>
      <c r="D235" s="14">
        <v>45721</v>
      </c>
      <c r="E235" s="14">
        <v>45778</v>
      </c>
      <c r="F235" s="17" t="str">
        <f t="shared" si="3"/>
        <v>Mar-2025</v>
      </c>
      <c r="G235" s="2">
        <v>15857.92</v>
      </c>
      <c r="H235" s="30" t="s">
        <v>941</v>
      </c>
      <c r="I235" s="32">
        <v>18</v>
      </c>
      <c r="J235" s="2">
        <v>2854.43</v>
      </c>
      <c r="K235" s="4" t="s">
        <v>97</v>
      </c>
      <c r="L235" s="4" t="s">
        <v>66</v>
      </c>
      <c r="M235" s="4" t="s">
        <v>39</v>
      </c>
      <c r="N235" s="4" t="s">
        <v>100</v>
      </c>
      <c r="O235" s="4" t="s">
        <v>126</v>
      </c>
      <c r="P235" s="6">
        <f>IF(Table3[[#This Row],[Payment Status]]="Overdue",1,0)</f>
        <v>0</v>
      </c>
      <c r="Q235" s="10">
        <v>45788</v>
      </c>
      <c r="R235" s="4" t="s">
        <v>184</v>
      </c>
      <c r="S235" s="4" t="s">
        <v>88</v>
      </c>
    </row>
    <row r="236" spans="1:19" x14ac:dyDescent="0.3">
      <c r="A236" s="4" t="s">
        <v>894</v>
      </c>
      <c r="B236" s="4" t="s">
        <v>31</v>
      </c>
      <c r="C236" s="26" t="s">
        <v>931</v>
      </c>
      <c r="D236" s="14">
        <v>45709</v>
      </c>
      <c r="F236" s="17" t="str">
        <f t="shared" si="3"/>
        <v>Feb-2025</v>
      </c>
      <c r="G236" s="2">
        <v>16168.41</v>
      </c>
      <c r="H236" s="30" t="s">
        <v>941</v>
      </c>
      <c r="I236" s="32">
        <v>18</v>
      </c>
      <c r="J236" s="2">
        <v>2910.31</v>
      </c>
      <c r="K236" s="4" t="s">
        <v>165</v>
      </c>
      <c r="L236" s="4" t="s">
        <v>66</v>
      </c>
      <c r="M236" s="4" t="s">
        <v>19</v>
      </c>
      <c r="N236" s="4" t="s">
        <v>91</v>
      </c>
      <c r="O236" s="4" t="s">
        <v>126</v>
      </c>
      <c r="P236" s="6">
        <f>IF(Table3[[#This Row],[Payment Status]]="Overdue",1,0)</f>
        <v>0</v>
      </c>
      <c r="Q236" s="10">
        <v>45735</v>
      </c>
      <c r="R236" s="4" t="s">
        <v>184</v>
      </c>
      <c r="S236" s="5" t="s">
        <v>941</v>
      </c>
    </row>
    <row r="237" spans="1:19" x14ac:dyDescent="0.3">
      <c r="A237" s="4" t="s">
        <v>231</v>
      </c>
      <c r="B237" s="4" t="s">
        <v>121</v>
      </c>
      <c r="C237" s="26" t="s">
        <v>232</v>
      </c>
      <c r="D237" s="14">
        <v>45887</v>
      </c>
      <c r="F237" s="17" t="str">
        <f t="shared" si="3"/>
        <v>Aug-2025</v>
      </c>
      <c r="G237" s="2">
        <v>30364.86</v>
      </c>
      <c r="H237" s="30" t="s">
        <v>941</v>
      </c>
      <c r="I237" s="32">
        <v>18</v>
      </c>
      <c r="J237" s="2">
        <v>5465.67</v>
      </c>
      <c r="K237" s="4" t="s">
        <v>73</v>
      </c>
      <c r="L237" s="4" t="s">
        <v>98</v>
      </c>
      <c r="M237" s="4" t="s">
        <v>19</v>
      </c>
      <c r="N237" s="4" t="s">
        <v>80</v>
      </c>
      <c r="O237" s="4" t="s">
        <v>126</v>
      </c>
      <c r="P237" s="6">
        <f>IF(Table3[[#This Row],[Payment Status]]="Overdue",1,0)</f>
        <v>0</v>
      </c>
      <c r="Q237" s="10">
        <v>45914</v>
      </c>
      <c r="R237" s="4" t="s">
        <v>20</v>
      </c>
      <c r="S237" s="4" t="s">
        <v>67</v>
      </c>
    </row>
    <row r="238" spans="1:19" x14ac:dyDescent="0.3">
      <c r="A238" s="4" t="s">
        <v>623</v>
      </c>
      <c r="B238" s="4" t="s">
        <v>121</v>
      </c>
      <c r="C238" s="26" t="s">
        <v>624</v>
      </c>
      <c r="D238" s="14">
        <v>45769</v>
      </c>
      <c r="F238" s="17" t="str">
        <f t="shared" si="3"/>
        <v>Apr-2025</v>
      </c>
      <c r="G238" s="2">
        <v>41747.74</v>
      </c>
      <c r="H238" s="30" t="s">
        <v>941</v>
      </c>
      <c r="I238" s="32">
        <v>18</v>
      </c>
      <c r="J238" s="2">
        <v>7514.59</v>
      </c>
      <c r="K238" s="4" t="s">
        <v>165</v>
      </c>
      <c r="L238" s="4" t="s">
        <v>66</v>
      </c>
      <c r="M238" s="4" t="s">
        <v>55</v>
      </c>
      <c r="N238" s="4" t="s">
        <v>80</v>
      </c>
      <c r="O238" s="4" t="s">
        <v>111</v>
      </c>
      <c r="P238" s="6">
        <f>IF(Table3[[#This Row],[Payment Status]]="Overdue",1,0)</f>
        <v>0</v>
      </c>
      <c r="Q238" s="11"/>
      <c r="R238" s="4" t="s">
        <v>184</v>
      </c>
      <c r="S238" s="4" t="s">
        <v>29</v>
      </c>
    </row>
    <row r="239" spans="1:19" x14ac:dyDescent="0.3">
      <c r="A239" s="4" t="s">
        <v>651</v>
      </c>
      <c r="B239" s="4" t="s">
        <v>190</v>
      </c>
      <c r="C239" s="26" t="s">
        <v>652</v>
      </c>
      <c r="D239" s="14">
        <v>45404</v>
      </c>
      <c r="E239" s="14">
        <v>45437</v>
      </c>
      <c r="F239" s="17" t="str">
        <f t="shared" si="3"/>
        <v>Apr-2024</v>
      </c>
      <c r="G239" s="2">
        <v>56157.67</v>
      </c>
      <c r="H239" s="30" t="s">
        <v>941</v>
      </c>
      <c r="I239" s="32">
        <v>18</v>
      </c>
      <c r="J239" s="2">
        <v>10108.379999999999</v>
      </c>
      <c r="K239" s="4" t="s">
        <v>165</v>
      </c>
      <c r="L239" s="4" t="s">
        <v>45</v>
      </c>
      <c r="M239" s="4" t="s">
        <v>25</v>
      </c>
      <c r="N239" s="4" t="s">
        <v>80</v>
      </c>
      <c r="O239" s="4" t="s">
        <v>92</v>
      </c>
      <c r="P239" s="6">
        <f>IF(Table3[[#This Row],[Payment Status]]="Overdue",1,0)</f>
        <v>1</v>
      </c>
      <c r="R239" s="4" t="s">
        <v>20</v>
      </c>
      <c r="S239" s="5" t="s">
        <v>941</v>
      </c>
    </row>
    <row r="240" spans="1:19" x14ac:dyDescent="0.3">
      <c r="A240" s="4" t="s">
        <v>337</v>
      </c>
      <c r="B240" s="4" t="s">
        <v>206</v>
      </c>
      <c r="C240" s="26" t="s">
        <v>338</v>
      </c>
      <c r="D240" s="14">
        <v>45651</v>
      </c>
      <c r="E240" s="14">
        <v>45997</v>
      </c>
      <c r="F240" s="17" t="str">
        <f t="shared" si="3"/>
        <v>Dec-2024</v>
      </c>
      <c r="G240" s="2">
        <v>21160.04</v>
      </c>
      <c r="H240" s="30" t="s">
        <v>941</v>
      </c>
      <c r="I240" s="32">
        <v>18</v>
      </c>
      <c r="J240" s="2">
        <v>3808.81</v>
      </c>
      <c r="K240" s="4" t="s">
        <v>106</v>
      </c>
      <c r="L240" s="4" t="s">
        <v>66</v>
      </c>
      <c r="M240" s="4" t="s">
        <v>61</v>
      </c>
      <c r="N240" s="4" t="s">
        <v>35</v>
      </c>
      <c r="O240" s="4" t="s">
        <v>111</v>
      </c>
      <c r="P240" s="6">
        <f>IF(Table3[[#This Row],[Payment Status]]="Overdue",1,0)</f>
        <v>0</v>
      </c>
      <c r="Q240" s="11"/>
      <c r="R240" s="4" t="s">
        <v>184</v>
      </c>
      <c r="S240" s="4" t="s">
        <v>29</v>
      </c>
    </row>
    <row r="241" spans="1:19" x14ac:dyDescent="0.3">
      <c r="A241" s="4" t="s">
        <v>339</v>
      </c>
      <c r="B241" s="4" t="s">
        <v>121</v>
      </c>
      <c r="C241" s="26" t="s">
        <v>340</v>
      </c>
      <c r="D241" s="14">
        <v>45502</v>
      </c>
      <c r="E241" s="14">
        <v>45925</v>
      </c>
      <c r="F241" s="17" t="str">
        <f t="shared" si="3"/>
        <v>Jul-2024</v>
      </c>
      <c r="G241" s="2">
        <v>69002.14</v>
      </c>
      <c r="H241" s="30" t="s">
        <v>941</v>
      </c>
      <c r="I241" s="32">
        <v>12</v>
      </c>
      <c r="J241" s="2">
        <v>8280.26</v>
      </c>
      <c r="K241" s="4" t="s">
        <v>44</v>
      </c>
      <c r="L241" s="4" t="s">
        <v>98</v>
      </c>
      <c r="M241" s="4" t="s">
        <v>25</v>
      </c>
      <c r="N241" s="5" t="s">
        <v>942</v>
      </c>
      <c r="O241" s="4" t="s">
        <v>126</v>
      </c>
      <c r="P241" s="6">
        <f>IF(Table3[[#This Row],[Payment Status]]="Overdue",1,0)</f>
        <v>0</v>
      </c>
      <c r="Q241" s="10">
        <v>45518</v>
      </c>
      <c r="R241" s="4" t="s">
        <v>62</v>
      </c>
      <c r="S241" s="4" t="s">
        <v>41</v>
      </c>
    </row>
    <row r="242" spans="1:19" x14ac:dyDescent="0.3">
      <c r="A242" s="4" t="s">
        <v>687</v>
      </c>
      <c r="B242" s="4" t="s">
        <v>77</v>
      </c>
      <c r="C242" s="26" t="s">
        <v>688</v>
      </c>
      <c r="D242" s="14">
        <v>45370</v>
      </c>
      <c r="E242" s="14">
        <v>45960</v>
      </c>
      <c r="F242" s="17" t="str">
        <f t="shared" si="3"/>
        <v>Mar-2024</v>
      </c>
      <c r="G242" s="2">
        <v>42968.66</v>
      </c>
      <c r="H242" s="30" t="s">
        <v>941</v>
      </c>
      <c r="I242" s="32">
        <v>12</v>
      </c>
      <c r="J242" s="2">
        <v>5156.24</v>
      </c>
      <c r="K242" s="4" t="s">
        <v>44</v>
      </c>
      <c r="L242" s="4" t="s">
        <v>70</v>
      </c>
      <c r="M242" s="4" t="s">
        <v>941</v>
      </c>
      <c r="N242" s="4" t="s">
        <v>56</v>
      </c>
      <c r="O242" s="4" t="s">
        <v>27</v>
      </c>
      <c r="P242" s="6">
        <f>IF(Table3[[#This Row],[Payment Status]]="Overdue",1,0)</f>
        <v>0</v>
      </c>
      <c r="Q242" s="11"/>
      <c r="R242" s="4" t="s">
        <v>57</v>
      </c>
      <c r="S242" s="5" t="s">
        <v>941</v>
      </c>
    </row>
    <row r="243" spans="1:19" x14ac:dyDescent="0.3">
      <c r="A243" s="4" t="s">
        <v>107</v>
      </c>
      <c r="B243" s="4" t="s">
        <v>924</v>
      </c>
      <c r="C243" s="26" t="s">
        <v>108</v>
      </c>
      <c r="D243" s="14">
        <v>45736</v>
      </c>
      <c r="E243" s="14">
        <v>45851</v>
      </c>
      <c r="F243" s="17" t="str">
        <f t="shared" si="3"/>
        <v>Mar-2025</v>
      </c>
      <c r="G243" s="2">
        <v>44464.57</v>
      </c>
      <c r="H243" s="30" t="s">
        <v>941</v>
      </c>
      <c r="I243" s="32">
        <v>18</v>
      </c>
      <c r="J243" s="2">
        <v>8003.62</v>
      </c>
      <c r="K243" s="4" t="s">
        <v>97</v>
      </c>
      <c r="L243" s="4" t="s">
        <v>98</v>
      </c>
      <c r="M243" s="4" t="s">
        <v>25</v>
      </c>
      <c r="N243" s="4" t="s">
        <v>56</v>
      </c>
      <c r="O243" s="4" t="s">
        <v>939</v>
      </c>
      <c r="P243" s="6">
        <f>IF(Table3[[#This Row],[Payment Status]]="Overdue",1,0)</f>
        <v>0</v>
      </c>
      <c r="Q243" s="11"/>
      <c r="R243" s="4" t="s">
        <v>941</v>
      </c>
      <c r="S243" s="4" t="s">
        <v>88</v>
      </c>
    </row>
    <row r="244" spans="1:19" x14ac:dyDescent="0.3">
      <c r="A244" s="4" t="s">
        <v>360</v>
      </c>
      <c r="B244" s="4" t="s">
        <v>311</v>
      </c>
      <c r="C244" s="26" t="s">
        <v>361</v>
      </c>
      <c r="D244" s="14">
        <v>45789</v>
      </c>
      <c r="F244" s="17" t="str">
        <f t="shared" si="3"/>
        <v>May-2025</v>
      </c>
      <c r="G244" s="2">
        <v>35958.32</v>
      </c>
      <c r="H244" s="30" t="s">
        <v>941</v>
      </c>
      <c r="I244" s="32">
        <v>5</v>
      </c>
      <c r="J244" s="2">
        <v>1797.92</v>
      </c>
      <c r="K244" s="4" t="s">
        <v>106</v>
      </c>
      <c r="L244" s="4" t="s">
        <v>66</v>
      </c>
      <c r="M244" s="4" t="s">
        <v>19</v>
      </c>
      <c r="N244" s="5" t="s">
        <v>942</v>
      </c>
      <c r="O244" s="4" t="s">
        <v>126</v>
      </c>
      <c r="P244" s="6">
        <f>IF(Table3[[#This Row],[Payment Status]]="Overdue",1,0)</f>
        <v>0</v>
      </c>
      <c r="Q244" s="10">
        <v>45846</v>
      </c>
      <c r="R244" s="4" t="s">
        <v>62</v>
      </c>
      <c r="S244" s="4" t="s">
        <v>88</v>
      </c>
    </row>
    <row r="245" spans="1:19" x14ac:dyDescent="0.3">
      <c r="A245" s="4" t="s">
        <v>548</v>
      </c>
      <c r="B245" s="4" t="s">
        <v>102</v>
      </c>
      <c r="C245" s="26" t="s">
        <v>549</v>
      </c>
      <c r="D245" s="14">
        <v>45826</v>
      </c>
      <c r="F245" s="17" t="str">
        <f t="shared" si="3"/>
        <v>Jun-2025</v>
      </c>
      <c r="G245" s="2">
        <v>80729.88</v>
      </c>
      <c r="H245" s="30" t="s">
        <v>941</v>
      </c>
      <c r="I245" s="32">
        <v>5</v>
      </c>
      <c r="J245" s="2">
        <v>4036.49</v>
      </c>
      <c r="K245" s="4" t="s">
        <v>165</v>
      </c>
      <c r="L245" s="4" t="s">
        <v>98</v>
      </c>
      <c r="M245" s="4" t="s">
        <v>25</v>
      </c>
      <c r="N245" s="4" t="s">
        <v>56</v>
      </c>
      <c r="O245" s="4" t="s">
        <v>126</v>
      </c>
      <c r="P245" s="6">
        <f>IF(Table3[[#This Row],[Payment Status]]="Overdue",1,0)</f>
        <v>0</v>
      </c>
      <c r="Q245" s="10">
        <v>45887</v>
      </c>
      <c r="R245" s="4" t="s">
        <v>20</v>
      </c>
      <c r="S245" s="4" t="s">
        <v>63</v>
      </c>
    </row>
    <row r="246" spans="1:19" x14ac:dyDescent="0.3">
      <c r="A246" s="4" t="s">
        <v>327</v>
      </c>
      <c r="B246" s="4" t="s">
        <v>50</v>
      </c>
      <c r="C246" s="26" t="s">
        <v>328</v>
      </c>
      <c r="D246" s="14">
        <v>45544</v>
      </c>
      <c r="E246" s="14">
        <v>45827</v>
      </c>
      <c r="F246" s="17" t="str">
        <f t="shared" si="3"/>
        <v>Sep-2024</v>
      </c>
      <c r="G246" s="2">
        <v>30950.38</v>
      </c>
      <c r="H246" s="30" t="s">
        <v>941</v>
      </c>
      <c r="I246" s="32">
        <v>0</v>
      </c>
      <c r="J246" s="2">
        <v>0</v>
      </c>
      <c r="K246" s="4" t="s">
        <v>106</v>
      </c>
      <c r="L246" s="4" t="s">
        <v>98</v>
      </c>
      <c r="M246" s="4" t="s">
        <v>39</v>
      </c>
      <c r="N246" s="5" t="s">
        <v>942</v>
      </c>
      <c r="O246" s="4" t="s">
        <v>92</v>
      </c>
      <c r="P246" s="6">
        <f>IF(Table3[[#This Row],[Payment Status]]="Overdue",1,0)</f>
        <v>1</v>
      </c>
      <c r="Q246" s="11"/>
      <c r="R246" s="4" t="s">
        <v>62</v>
      </c>
      <c r="S246" s="4" t="s">
        <v>41</v>
      </c>
    </row>
    <row r="247" spans="1:19" x14ac:dyDescent="0.3">
      <c r="A247" s="4" t="s">
        <v>530</v>
      </c>
      <c r="B247" s="4" t="s">
        <v>190</v>
      </c>
      <c r="C247" s="26" t="s">
        <v>531</v>
      </c>
      <c r="D247" s="14">
        <v>45600</v>
      </c>
      <c r="E247" s="14">
        <v>45687</v>
      </c>
      <c r="F247" s="17" t="str">
        <f t="shared" si="3"/>
        <v>Nov-2024</v>
      </c>
      <c r="G247" s="2">
        <v>25386.33</v>
      </c>
      <c r="H247" s="30" t="s">
        <v>941</v>
      </c>
      <c r="I247" s="32">
        <v>18</v>
      </c>
      <c r="J247" s="2">
        <v>4569.54</v>
      </c>
      <c r="K247" s="4" t="s">
        <v>97</v>
      </c>
      <c r="L247" s="4" t="s">
        <v>66</v>
      </c>
      <c r="M247" s="4" t="s">
        <v>55</v>
      </c>
      <c r="N247" s="4" t="s">
        <v>80</v>
      </c>
      <c r="O247" s="4" t="s">
        <v>92</v>
      </c>
      <c r="P247" s="6">
        <f>IF(Table3[[#This Row],[Payment Status]]="Overdue",1,0)</f>
        <v>1</v>
      </c>
      <c r="Q247" s="11"/>
      <c r="R247" s="4" t="s">
        <v>184</v>
      </c>
      <c r="S247" s="4" t="s">
        <v>63</v>
      </c>
    </row>
    <row r="248" spans="1:19" x14ac:dyDescent="0.3">
      <c r="A248" s="4" t="s">
        <v>704</v>
      </c>
      <c r="B248" s="4" t="s">
        <v>153</v>
      </c>
      <c r="C248" s="26" t="s">
        <v>705</v>
      </c>
      <c r="D248" s="14">
        <v>45320</v>
      </c>
      <c r="E248" s="14">
        <v>45777</v>
      </c>
      <c r="F248" s="17" t="str">
        <f t="shared" si="3"/>
        <v>Jan-2024</v>
      </c>
      <c r="G248" s="2">
        <v>53618.77</v>
      </c>
      <c r="H248" s="26" t="s">
        <v>72</v>
      </c>
      <c r="I248" s="32">
        <v>5</v>
      </c>
      <c r="J248" s="2">
        <v>2680.94</v>
      </c>
      <c r="K248" s="4" t="s">
        <v>53</v>
      </c>
      <c r="L248" s="4" t="s">
        <v>45</v>
      </c>
      <c r="M248" s="4" t="s">
        <v>55</v>
      </c>
      <c r="N248" s="4" t="s">
        <v>56</v>
      </c>
      <c r="O248" s="4" t="s">
        <v>111</v>
      </c>
      <c r="P248" s="6">
        <f>IF(Table3[[#This Row],[Payment Status]]="Overdue",1,0)</f>
        <v>0</v>
      </c>
      <c r="Q248" s="11"/>
      <c r="R248" s="4" t="s">
        <v>184</v>
      </c>
      <c r="S248" s="4" t="s">
        <v>88</v>
      </c>
    </row>
    <row r="249" spans="1:19" x14ac:dyDescent="0.3">
      <c r="A249" s="4" t="s">
        <v>438</v>
      </c>
      <c r="B249" s="4" t="s">
        <v>190</v>
      </c>
      <c r="C249" s="26" t="s">
        <v>439</v>
      </c>
      <c r="D249" s="14">
        <v>45856</v>
      </c>
      <c r="E249" s="14">
        <v>45876</v>
      </c>
      <c r="F249" s="17" t="str">
        <f t="shared" si="3"/>
        <v>Jul-2025</v>
      </c>
      <c r="G249" s="2">
        <v>78476.08</v>
      </c>
      <c r="H249" s="26" t="s">
        <v>18</v>
      </c>
      <c r="I249" s="32">
        <v>0</v>
      </c>
      <c r="J249" s="2">
        <v>0</v>
      </c>
      <c r="K249" s="4" t="s">
        <v>165</v>
      </c>
      <c r="L249" s="4" t="s">
        <v>45</v>
      </c>
      <c r="M249" s="4" t="s">
        <v>19</v>
      </c>
      <c r="N249" s="4" t="s">
        <v>56</v>
      </c>
      <c r="O249" s="4" t="s">
        <v>126</v>
      </c>
      <c r="P249" s="6">
        <f>IF(Table3[[#This Row],[Payment Status]]="Overdue",1,0)</f>
        <v>0</v>
      </c>
      <c r="Q249" s="10">
        <v>45818</v>
      </c>
      <c r="R249" s="4" t="s">
        <v>62</v>
      </c>
      <c r="S249" s="5" t="s">
        <v>941</v>
      </c>
    </row>
    <row r="250" spans="1:19" x14ac:dyDescent="0.3">
      <c r="A250" s="4" t="s">
        <v>519</v>
      </c>
      <c r="B250" s="4" t="s">
        <v>311</v>
      </c>
      <c r="C250" s="26" t="s">
        <v>520</v>
      </c>
      <c r="D250" s="14">
        <v>45798</v>
      </c>
      <c r="E250" s="14">
        <v>45897</v>
      </c>
      <c r="F250" s="17" t="str">
        <f t="shared" si="3"/>
        <v>May-2025</v>
      </c>
      <c r="G250" s="2">
        <v>72810.259999999995</v>
      </c>
      <c r="H250" s="30" t="s">
        <v>941</v>
      </c>
      <c r="I250" s="32">
        <v>12</v>
      </c>
      <c r="J250" s="2">
        <v>8737.23</v>
      </c>
      <c r="K250" s="5" t="s">
        <v>66</v>
      </c>
      <c r="L250" s="4" t="s">
        <v>98</v>
      </c>
      <c r="M250" s="4" t="s">
        <v>25</v>
      </c>
      <c r="N250" s="5" t="s">
        <v>942</v>
      </c>
      <c r="O250" s="4" t="s">
        <v>92</v>
      </c>
      <c r="P250" s="6">
        <f>IF(Table3[[#This Row],[Payment Status]]="Overdue",1,0)</f>
        <v>1</v>
      </c>
      <c r="R250" s="4" t="s">
        <v>40</v>
      </c>
      <c r="S250" s="4" t="s">
        <v>67</v>
      </c>
    </row>
    <row r="251" spans="1:19" x14ac:dyDescent="0.3">
      <c r="A251" s="4" t="s">
        <v>250</v>
      </c>
      <c r="B251" s="4" t="s">
        <v>924</v>
      </c>
      <c r="C251" s="26" t="s">
        <v>251</v>
      </c>
      <c r="D251" s="14">
        <v>45366</v>
      </c>
      <c r="E251" s="14">
        <v>45873</v>
      </c>
      <c r="F251" s="17" t="str">
        <f t="shared" si="3"/>
        <v>Mar-2024</v>
      </c>
      <c r="G251" s="2">
        <v>4571.76</v>
      </c>
      <c r="H251" s="30" t="s">
        <v>941</v>
      </c>
      <c r="I251" s="32">
        <v>12</v>
      </c>
      <c r="J251" s="2">
        <v>548.61</v>
      </c>
      <c r="K251" s="4" t="s">
        <v>106</v>
      </c>
      <c r="L251" s="4" t="s">
        <v>24</v>
      </c>
      <c r="M251" s="4" t="s">
        <v>39</v>
      </c>
      <c r="N251" s="4" t="s">
        <v>35</v>
      </c>
      <c r="O251" s="4" t="s">
        <v>25</v>
      </c>
      <c r="P251" s="6">
        <f>IF(Table3[[#This Row],[Payment Status]]="Overdue",1,0)</f>
        <v>0</v>
      </c>
      <c r="Q251" s="11"/>
      <c r="R251" s="4" t="s">
        <v>184</v>
      </c>
      <c r="S251" s="4" t="s">
        <v>41</v>
      </c>
    </row>
    <row r="252" spans="1:19" x14ac:dyDescent="0.3">
      <c r="A252" s="4" t="s">
        <v>595</v>
      </c>
      <c r="B252" s="4" t="s">
        <v>121</v>
      </c>
      <c r="C252" s="26" t="s">
        <v>596</v>
      </c>
      <c r="D252" s="14">
        <v>45771</v>
      </c>
      <c r="F252" s="17" t="str">
        <f t="shared" si="3"/>
        <v>Apr-2025</v>
      </c>
      <c r="G252" s="2">
        <v>60415.19</v>
      </c>
      <c r="H252" s="30" t="s">
        <v>941</v>
      </c>
      <c r="I252" s="32">
        <v>0</v>
      </c>
      <c r="J252" s="2">
        <v>0</v>
      </c>
      <c r="K252" s="4" t="s">
        <v>165</v>
      </c>
      <c r="L252" s="4" t="s">
        <v>79</v>
      </c>
      <c r="M252" s="4" t="s">
        <v>61</v>
      </c>
      <c r="N252" s="4" t="s">
        <v>100</v>
      </c>
      <c r="O252" s="4" t="s">
        <v>939</v>
      </c>
      <c r="P252" s="6">
        <f>IF(Table3[[#This Row],[Payment Status]]="Overdue",1,0)</f>
        <v>0</v>
      </c>
      <c r="Q252" s="11"/>
      <c r="R252" s="4" t="s">
        <v>57</v>
      </c>
      <c r="S252" s="4" t="s">
        <v>41</v>
      </c>
    </row>
    <row r="253" spans="1:19" x14ac:dyDescent="0.3">
      <c r="A253" s="4" t="s">
        <v>475</v>
      </c>
      <c r="B253" s="4" t="s">
        <v>153</v>
      </c>
      <c r="C253" s="26" t="s">
        <v>476</v>
      </c>
      <c r="D253" s="14">
        <v>45485</v>
      </c>
      <c r="E253" s="14">
        <v>45971</v>
      </c>
      <c r="F253" s="17" t="str">
        <f t="shared" si="3"/>
        <v>Jul-2024</v>
      </c>
      <c r="G253" s="2">
        <v>15689.54</v>
      </c>
      <c r="H253" s="30" t="s">
        <v>941</v>
      </c>
      <c r="I253" s="32">
        <v>18</v>
      </c>
      <c r="J253" s="2">
        <v>2824.12</v>
      </c>
      <c r="K253" s="4" t="s">
        <v>44</v>
      </c>
      <c r="L253" s="4" t="s">
        <v>66</v>
      </c>
      <c r="M253" s="4" t="s">
        <v>39</v>
      </c>
      <c r="N253" s="4" t="s">
        <v>80</v>
      </c>
      <c r="O253" s="4" t="s">
        <v>126</v>
      </c>
      <c r="P253" s="6">
        <f>IF(Table3[[#This Row],[Payment Status]]="Overdue",1,0)</f>
        <v>0</v>
      </c>
      <c r="Q253" s="10">
        <v>45526</v>
      </c>
      <c r="R253" s="4" t="s">
        <v>28</v>
      </c>
      <c r="S253" s="4" t="s">
        <v>41</v>
      </c>
    </row>
    <row r="254" spans="1:19" x14ac:dyDescent="0.3">
      <c r="A254" s="4" t="s">
        <v>424</v>
      </c>
      <c r="B254" s="4" t="s">
        <v>155</v>
      </c>
      <c r="C254" s="26" t="s">
        <v>425</v>
      </c>
      <c r="D254" s="14">
        <v>45919</v>
      </c>
      <c r="E254" s="22"/>
      <c r="F254" s="18" t="str">
        <f t="shared" si="3"/>
        <v>Sep-2025</v>
      </c>
      <c r="G254" s="2">
        <v>21036.46</v>
      </c>
      <c r="H254" s="30" t="s">
        <v>941</v>
      </c>
      <c r="I254" s="32">
        <v>0</v>
      </c>
      <c r="J254" s="2">
        <v>0</v>
      </c>
      <c r="K254" s="4" t="s">
        <v>97</v>
      </c>
      <c r="L254" s="4" t="s">
        <v>940</v>
      </c>
      <c r="M254" s="4" t="s">
        <v>19</v>
      </c>
      <c r="N254" s="5" t="s">
        <v>942</v>
      </c>
      <c r="O254" s="4" t="s">
        <v>126</v>
      </c>
      <c r="P254" s="6">
        <f>IF(Table3[[#This Row],[Payment Status]]="Overdue",1,0)</f>
        <v>0</v>
      </c>
      <c r="Q254" s="10">
        <v>45915</v>
      </c>
      <c r="R254" s="4" t="s">
        <v>184</v>
      </c>
      <c r="S254" s="4" t="s">
        <v>67</v>
      </c>
    </row>
    <row r="255" spans="1:19" x14ac:dyDescent="0.3">
      <c r="A255" s="4" t="s">
        <v>448</v>
      </c>
      <c r="B255" s="4" t="s">
        <v>163</v>
      </c>
      <c r="C255" s="26" t="s">
        <v>449</v>
      </c>
      <c r="D255" s="14">
        <v>45390</v>
      </c>
      <c r="E255" s="14">
        <v>45467</v>
      </c>
      <c r="F255" s="17" t="str">
        <f t="shared" si="3"/>
        <v>Apr-2024</v>
      </c>
      <c r="G255" s="2">
        <v>27571.05</v>
      </c>
      <c r="H255" s="30" t="s">
        <v>941</v>
      </c>
      <c r="I255" s="32">
        <v>18</v>
      </c>
      <c r="J255" s="2">
        <v>4962.79</v>
      </c>
      <c r="K255" s="4" t="s">
        <v>97</v>
      </c>
      <c r="L255" s="4" t="s">
        <v>24</v>
      </c>
      <c r="M255" s="4" t="s">
        <v>19</v>
      </c>
      <c r="N255" s="4" t="s">
        <v>35</v>
      </c>
      <c r="O255" s="4" t="s">
        <v>92</v>
      </c>
      <c r="P255" s="6">
        <f>IF(Table3[[#This Row],[Payment Status]]="Overdue",1,0)</f>
        <v>1</v>
      </c>
      <c r="Q255" s="11"/>
      <c r="R255" s="4" t="s">
        <v>184</v>
      </c>
      <c r="S255" s="4" t="s">
        <v>63</v>
      </c>
    </row>
    <row r="256" spans="1:19" x14ac:dyDescent="0.3">
      <c r="A256" s="4" t="s">
        <v>187</v>
      </c>
      <c r="B256" s="4" t="s">
        <v>923</v>
      </c>
      <c r="C256" s="26" t="s">
        <v>188</v>
      </c>
      <c r="D256" s="14">
        <v>45668</v>
      </c>
      <c r="E256" s="14">
        <v>45996</v>
      </c>
      <c r="F256" s="17" t="str">
        <f t="shared" si="3"/>
        <v>Jan-2025</v>
      </c>
      <c r="G256" s="2">
        <v>37945.79</v>
      </c>
      <c r="H256" s="30" t="s">
        <v>941</v>
      </c>
      <c r="I256" s="32">
        <v>18</v>
      </c>
      <c r="J256" s="2">
        <v>6830.24</v>
      </c>
      <c r="K256" s="4" t="s">
        <v>165</v>
      </c>
      <c r="L256" s="4" t="s">
        <v>60</v>
      </c>
      <c r="M256" s="4" t="s">
        <v>39</v>
      </c>
      <c r="N256" s="5" t="s">
        <v>942</v>
      </c>
      <c r="O256" s="4" t="s">
        <v>92</v>
      </c>
      <c r="P256" s="6">
        <f>IF(Table3[[#This Row],[Payment Status]]="Overdue",1,0)</f>
        <v>1</v>
      </c>
      <c r="Q256" s="11"/>
      <c r="R256" s="4" t="s">
        <v>184</v>
      </c>
      <c r="S256" s="4" t="s">
        <v>63</v>
      </c>
    </row>
    <row r="257" spans="1:19" x14ac:dyDescent="0.3">
      <c r="A257" s="4" t="s">
        <v>718</v>
      </c>
      <c r="B257" s="4" t="s">
        <v>153</v>
      </c>
      <c r="C257" s="26" t="s">
        <v>719</v>
      </c>
      <c r="D257" s="14">
        <v>45373</v>
      </c>
      <c r="E257" s="14">
        <v>45638</v>
      </c>
      <c r="F257" s="17" t="str">
        <f t="shared" si="3"/>
        <v>Mar-2024</v>
      </c>
      <c r="G257" s="2">
        <v>25638.37</v>
      </c>
      <c r="H257" s="30" t="s">
        <v>941</v>
      </c>
      <c r="I257" s="32">
        <v>12</v>
      </c>
      <c r="J257" s="2">
        <v>3076.6</v>
      </c>
      <c r="K257" s="4" t="s">
        <v>106</v>
      </c>
      <c r="L257" s="4" t="s">
        <v>54</v>
      </c>
      <c r="M257" s="4" t="s">
        <v>39</v>
      </c>
      <c r="N257" s="4" t="s">
        <v>80</v>
      </c>
      <c r="O257" s="4" t="s">
        <v>92</v>
      </c>
      <c r="P257" s="6">
        <f>IF(Table3[[#This Row],[Payment Status]]="Overdue",1,0)</f>
        <v>1</v>
      </c>
      <c r="Q257" s="11"/>
      <c r="R257" s="4" t="s">
        <v>184</v>
      </c>
      <c r="S257" s="4" t="s">
        <v>67</v>
      </c>
    </row>
    <row r="258" spans="1:19" x14ac:dyDescent="0.3">
      <c r="A258" s="4" t="s">
        <v>683</v>
      </c>
      <c r="B258" s="4" t="s">
        <v>153</v>
      </c>
      <c r="C258" s="26" t="s">
        <v>684</v>
      </c>
      <c r="D258" s="14">
        <v>45359</v>
      </c>
      <c r="E258" s="14">
        <v>45478</v>
      </c>
      <c r="F258" s="17" t="str">
        <f t="shared" ref="F258:F321" si="4">TEXT(D258,"mmm-yyyy")</f>
        <v>Mar-2024</v>
      </c>
      <c r="G258" s="2">
        <v>7217.2</v>
      </c>
      <c r="H258" s="30" t="s">
        <v>941</v>
      </c>
      <c r="I258" s="32">
        <v>18</v>
      </c>
      <c r="J258" s="2">
        <v>1299.0999999999999</v>
      </c>
      <c r="K258" s="4" t="s">
        <v>53</v>
      </c>
      <c r="L258" s="4" t="s">
        <v>98</v>
      </c>
      <c r="M258" s="4" t="s">
        <v>19</v>
      </c>
      <c r="N258" s="4" t="s">
        <v>35</v>
      </c>
      <c r="O258" s="4" t="s">
        <v>27</v>
      </c>
      <c r="P258" s="6">
        <f>IF(Table3[[#This Row],[Payment Status]]="Overdue",1,0)</f>
        <v>0</v>
      </c>
      <c r="Q258" s="11"/>
      <c r="R258" s="4" t="s">
        <v>40</v>
      </c>
      <c r="S258" s="4" t="s">
        <v>63</v>
      </c>
    </row>
    <row r="259" spans="1:19" x14ac:dyDescent="0.3">
      <c r="A259" s="4" t="s">
        <v>214</v>
      </c>
      <c r="B259" s="4" t="s">
        <v>190</v>
      </c>
      <c r="C259" s="26" t="s">
        <v>215</v>
      </c>
      <c r="D259" s="14">
        <v>45908</v>
      </c>
      <c r="E259" s="14">
        <v>45970</v>
      </c>
      <c r="F259" s="17" t="str">
        <f t="shared" si="4"/>
        <v>Sep-2025</v>
      </c>
      <c r="G259" s="2">
        <v>52629.67</v>
      </c>
      <c r="H259" s="30" t="s">
        <v>941</v>
      </c>
      <c r="I259" s="32">
        <v>18</v>
      </c>
      <c r="J259" s="2">
        <v>9473.34</v>
      </c>
      <c r="K259" s="4" t="s">
        <v>97</v>
      </c>
      <c r="L259" s="4" t="s">
        <v>24</v>
      </c>
      <c r="M259" s="4" t="s">
        <v>19</v>
      </c>
      <c r="N259" s="5" t="s">
        <v>942</v>
      </c>
      <c r="O259" s="4" t="s">
        <v>939</v>
      </c>
      <c r="P259" s="6">
        <f>IF(Table3[[#This Row],[Payment Status]]="Overdue",1,0)</f>
        <v>0</v>
      </c>
      <c r="Q259" s="11"/>
      <c r="R259" s="4" t="s">
        <v>184</v>
      </c>
      <c r="S259" s="4" t="s">
        <v>63</v>
      </c>
    </row>
    <row r="260" spans="1:19" x14ac:dyDescent="0.3">
      <c r="A260" s="4" t="s">
        <v>123</v>
      </c>
      <c r="B260" s="4" t="s">
        <v>128</v>
      </c>
      <c r="C260" s="27"/>
      <c r="D260" s="14">
        <v>45724</v>
      </c>
      <c r="F260" s="17" t="str">
        <f t="shared" si="4"/>
        <v>Mar-2025</v>
      </c>
      <c r="G260" s="2">
        <v>76719.94</v>
      </c>
      <c r="H260" s="30" t="s">
        <v>941</v>
      </c>
      <c r="I260" s="32">
        <v>18</v>
      </c>
      <c r="J260" s="2">
        <v>13809.59</v>
      </c>
      <c r="K260" s="4" t="s">
        <v>165</v>
      </c>
      <c r="L260" s="4" t="s">
        <v>24</v>
      </c>
      <c r="M260" s="4" t="s">
        <v>19</v>
      </c>
      <c r="N260" s="4" t="s">
        <v>91</v>
      </c>
      <c r="O260" s="4" t="s">
        <v>126</v>
      </c>
      <c r="P260" s="6">
        <f>IF(Table3[[#This Row],[Payment Status]]="Overdue",1,0)</f>
        <v>0</v>
      </c>
      <c r="Q260" s="10">
        <v>45766</v>
      </c>
      <c r="R260" s="4" t="s">
        <v>941</v>
      </c>
      <c r="S260" s="4" t="s">
        <v>41</v>
      </c>
    </row>
    <row r="261" spans="1:19" x14ac:dyDescent="0.3">
      <c r="A261" s="4" t="s">
        <v>353</v>
      </c>
      <c r="B261" s="4" t="s">
        <v>31</v>
      </c>
      <c r="C261" s="26" t="s">
        <v>354</v>
      </c>
      <c r="D261" s="14">
        <v>45354</v>
      </c>
      <c r="E261" s="14">
        <v>45880</v>
      </c>
      <c r="F261" s="17" t="str">
        <f t="shared" si="4"/>
        <v>Mar-2024</v>
      </c>
      <c r="G261" s="2">
        <v>49057.82</v>
      </c>
      <c r="H261" s="30" t="s">
        <v>941</v>
      </c>
      <c r="I261" s="32">
        <v>18</v>
      </c>
      <c r="J261" s="2">
        <v>8830.41</v>
      </c>
      <c r="K261" s="4" t="s">
        <v>106</v>
      </c>
      <c r="L261" s="4" t="s">
        <v>70</v>
      </c>
      <c r="M261" s="4" t="s">
        <v>25</v>
      </c>
      <c r="N261" s="4" t="s">
        <v>117</v>
      </c>
      <c r="O261" s="4" t="s">
        <v>111</v>
      </c>
      <c r="P261" s="6">
        <f>IF(Table3[[#This Row],[Payment Status]]="Overdue",1,0)</f>
        <v>0</v>
      </c>
      <c r="Q261" s="11"/>
      <c r="R261" s="4" t="s">
        <v>62</v>
      </c>
      <c r="S261" s="4" t="s">
        <v>63</v>
      </c>
    </row>
    <row r="262" spans="1:19" x14ac:dyDescent="0.3">
      <c r="A262" s="4" t="s">
        <v>714</v>
      </c>
      <c r="B262" s="4" t="s">
        <v>128</v>
      </c>
      <c r="C262" s="26" t="s">
        <v>715</v>
      </c>
      <c r="D262" s="14">
        <v>45843</v>
      </c>
      <c r="E262" s="22"/>
      <c r="F262" s="18" t="str">
        <f t="shared" si="4"/>
        <v>Jul-2025</v>
      </c>
      <c r="G262" s="2">
        <v>67688.28</v>
      </c>
      <c r="H262" s="30" t="s">
        <v>941</v>
      </c>
      <c r="I262" s="32">
        <v>18</v>
      </c>
      <c r="J262" s="2">
        <v>12183.89</v>
      </c>
      <c r="K262" s="4" t="s">
        <v>143</v>
      </c>
      <c r="L262" s="4" t="s">
        <v>70</v>
      </c>
      <c r="M262" s="4" t="s">
        <v>19</v>
      </c>
      <c r="N262" s="4" t="s">
        <v>35</v>
      </c>
      <c r="O262" s="4" t="s">
        <v>92</v>
      </c>
      <c r="P262" s="6">
        <f>IF(Table3[[#This Row],[Payment Status]]="Overdue",1,0)</f>
        <v>1</v>
      </c>
      <c r="Q262" s="11"/>
      <c r="R262" s="4" t="s">
        <v>184</v>
      </c>
      <c r="S262" s="4" t="s">
        <v>63</v>
      </c>
    </row>
    <row r="263" spans="1:19" x14ac:dyDescent="0.3">
      <c r="A263" s="4" t="s">
        <v>629</v>
      </c>
      <c r="B263" s="4" t="s">
        <v>630</v>
      </c>
      <c r="C263" s="26" t="s">
        <v>631</v>
      </c>
      <c r="D263" s="14">
        <v>45483</v>
      </c>
      <c r="E263" s="14">
        <v>45807</v>
      </c>
      <c r="F263" s="17" t="str">
        <f t="shared" si="4"/>
        <v>Jul-2024</v>
      </c>
      <c r="G263" s="2">
        <v>28806.79</v>
      </c>
      <c r="H263" s="30" t="s">
        <v>941</v>
      </c>
      <c r="I263" s="32">
        <v>5</v>
      </c>
      <c r="J263" s="2">
        <v>1440.34</v>
      </c>
      <c r="K263" s="4" t="s">
        <v>44</v>
      </c>
      <c r="L263" s="4" t="s">
        <v>79</v>
      </c>
      <c r="M263" s="4" t="s">
        <v>39</v>
      </c>
      <c r="N263" s="4" t="s">
        <v>80</v>
      </c>
      <c r="O263" s="4" t="s">
        <v>25</v>
      </c>
      <c r="P263" s="6">
        <f>IF(Table3[[#This Row],[Payment Status]]="Overdue",1,0)</f>
        <v>0</v>
      </c>
      <c r="Q263" s="11"/>
      <c r="R263" s="4" t="s">
        <v>941</v>
      </c>
      <c r="S263" s="4" t="s">
        <v>29</v>
      </c>
    </row>
    <row r="264" spans="1:19" x14ac:dyDescent="0.3">
      <c r="A264" s="4" t="s">
        <v>115</v>
      </c>
      <c r="B264" s="4" t="s">
        <v>923</v>
      </c>
      <c r="C264" s="26" t="s">
        <v>116</v>
      </c>
      <c r="D264" s="14">
        <v>45366</v>
      </c>
      <c r="E264" s="14">
        <v>45867</v>
      </c>
      <c r="F264" s="17" t="str">
        <f t="shared" si="4"/>
        <v>Mar-2024</v>
      </c>
      <c r="G264" s="2">
        <v>14323.88</v>
      </c>
      <c r="H264" s="30" t="s">
        <v>941</v>
      </c>
      <c r="I264" s="32">
        <v>5</v>
      </c>
      <c r="J264" s="2">
        <v>716.19</v>
      </c>
      <c r="K264" s="4" t="s">
        <v>53</v>
      </c>
      <c r="L264" s="4" t="s">
        <v>940</v>
      </c>
      <c r="M264" s="4" t="s">
        <v>19</v>
      </c>
      <c r="N264" s="4" t="s">
        <v>117</v>
      </c>
      <c r="O264" s="4" t="s">
        <v>126</v>
      </c>
      <c r="P264" s="6">
        <f>IF(Table3[[#This Row],[Payment Status]]="Overdue",1,0)</f>
        <v>0</v>
      </c>
      <c r="Q264" s="10">
        <v>45872</v>
      </c>
      <c r="R264" s="4" t="s">
        <v>36</v>
      </c>
      <c r="S264" s="4" t="s">
        <v>41</v>
      </c>
    </row>
    <row r="265" spans="1:19" x14ac:dyDescent="0.3">
      <c r="A265" s="4" t="s">
        <v>104</v>
      </c>
      <c r="B265" s="4" t="s">
        <v>206</v>
      </c>
      <c r="C265" s="26" t="s">
        <v>105</v>
      </c>
      <c r="D265" s="14">
        <v>45543</v>
      </c>
      <c r="E265" s="14">
        <v>45745</v>
      </c>
      <c r="F265" s="17" t="str">
        <f t="shared" si="4"/>
        <v>Sep-2024</v>
      </c>
      <c r="G265" s="2">
        <v>35933.129999999997</v>
      </c>
      <c r="H265" s="30" t="s">
        <v>941</v>
      </c>
      <c r="I265" s="32">
        <v>18</v>
      </c>
      <c r="J265" s="2">
        <v>6467.96</v>
      </c>
      <c r="K265" s="4" t="s">
        <v>106</v>
      </c>
      <c r="L265" s="4" t="s">
        <v>66</v>
      </c>
      <c r="M265" s="4" t="s">
        <v>19</v>
      </c>
      <c r="N265" s="4" t="s">
        <v>80</v>
      </c>
      <c r="O265" s="4" t="s">
        <v>27</v>
      </c>
      <c r="P265" s="6">
        <f>IF(Table3[[#This Row],[Payment Status]]="Overdue",1,0)</f>
        <v>0</v>
      </c>
      <c r="Q265" s="11"/>
      <c r="R265" s="4" t="s">
        <v>57</v>
      </c>
      <c r="S265" s="4" t="s">
        <v>63</v>
      </c>
    </row>
    <row r="266" spans="1:19" x14ac:dyDescent="0.3">
      <c r="A266" s="4" t="s">
        <v>199</v>
      </c>
      <c r="B266" s="4" t="s">
        <v>128</v>
      </c>
      <c r="C266" s="26" t="s">
        <v>200</v>
      </c>
      <c r="D266" s="14">
        <v>45351</v>
      </c>
      <c r="E266" s="14">
        <v>45423</v>
      </c>
      <c r="F266" s="17" t="str">
        <f t="shared" si="4"/>
        <v>Feb-2024</v>
      </c>
      <c r="G266" s="2">
        <v>82680.3</v>
      </c>
      <c r="H266" s="30" t="s">
        <v>941</v>
      </c>
      <c r="I266" s="32">
        <v>18</v>
      </c>
      <c r="J266" s="2">
        <v>14882.45</v>
      </c>
      <c r="K266" s="5" t="s">
        <v>66</v>
      </c>
      <c r="L266" s="4" t="s">
        <v>54</v>
      </c>
      <c r="M266" s="4" t="s">
        <v>55</v>
      </c>
      <c r="N266" s="4" t="s">
        <v>26</v>
      </c>
      <c r="O266" s="4" t="s">
        <v>111</v>
      </c>
      <c r="P266" s="6">
        <f>IF(Table3[[#This Row],[Payment Status]]="Overdue",1,0)</f>
        <v>0</v>
      </c>
      <c r="Q266" s="11"/>
      <c r="R266" s="4" t="s">
        <v>941</v>
      </c>
      <c r="S266" s="4" t="s">
        <v>85</v>
      </c>
    </row>
    <row r="267" spans="1:19" x14ac:dyDescent="0.3">
      <c r="A267" s="4" t="s">
        <v>194</v>
      </c>
      <c r="B267" s="4" t="s">
        <v>77</v>
      </c>
      <c r="C267" s="26" t="s">
        <v>195</v>
      </c>
      <c r="D267" s="14">
        <v>45378</v>
      </c>
      <c r="E267" s="14">
        <v>45750</v>
      </c>
      <c r="F267" s="17" t="str">
        <f t="shared" si="4"/>
        <v>Mar-2024</v>
      </c>
      <c r="G267" s="2">
        <v>33240.949999999997</v>
      </c>
      <c r="H267" s="30" t="s">
        <v>941</v>
      </c>
      <c r="I267" s="32">
        <v>18</v>
      </c>
      <c r="J267" s="2">
        <v>5983.37</v>
      </c>
      <c r="K267" s="4" t="s">
        <v>53</v>
      </c>
      <c r="L267" s="4" t="s">
        <v>24</v>
      </c>
      <c r="M267" s="4" t="s">
        <v>39</v>
      </c>
      <c r="N267" s="4" t="s">
        <v>26</v>
      </c>
      <c r="O267" s="4" t="s">
        <v>25</v>
      </c>
      <c r="P267" s="6">
        <f>IF(Table3[[#This Row],[Payment Status]]="Overdue",1,0)</f>
        <v>0</v>
      </c>
      <c r="Q267" s="11"/>
      <c r="R267" s="4" t="s">
        <v>62</v>
      </c>
      <c r="S267" s="4" t="s">
        <v>88</v>
      </c>
    </row>
    <row r="268" spans="1:19" x14ac:dyDescent="0.3">
      <c r="A268" s="4" t="s">
        <v>873</v>
      </c>
      <c r="B268" s="4" t="s">
        <v>206</v>
      </c>
      <c r="C268" s="26" t="s">
        <v>874</v>
      </c>
      <c r="D268" s="14">
        <v>45340</v>
      </c>
      <c r="E268" s="14">
        <v>45713</v>
      </c>
      <c r="F268" s="17" t="str">
        <f t="shared" si="4"/>
        <v>Feb-2024</v>
      </c>
      <c r="G268" s="2">
        <v>38225.32</v>
      </c>
      <c r="H268" s="30" t="s">
        <v>941</v>
      </c>
      <c r="I268" s="32">
        <v>5</v>
      </c>
      <c r="J268" s="2">
        <v>1911.27</v>
      </c>
      <c r="K268" s="4" t="s">
        <v>33</v>
      </c>
      <c r="L268" s="4" t="s">
        <v>98</v>
      </c>
      <c r="M268" s="4" t="s">
        <v>25</v>
      </c>
      <c r="N268" s="5" t="s">
        <v>942</v>
      </c>
      <c r="O268" s="4" t="s">
        <v>939</v>
      </c>
      <c r="P268" s="6">
        <f>IF(Table3[[#This Row],[Payment Status]]="Overdue",1,0)</f>
        <v>0</v>
      </c>
      <c r="Q268" s="11"/>
      <c r="R268" s="4" t="s">
        <v>941</v>
      </c>
      <c r="S268" s="4" t="s">
        <v>63</v>
      </c>
    </row>
    <row r="269" spans="1:19" x14ac:dyDescent="0.3">
      <c r="A269" s="4" t="s">
        <v>417</v>
      </c>
      <c r="B269" s="4" t="s">
        <v>206</v>
      </c>
      <c r="C269" s="26" t="s">
        <v>418</v>
      </c>
      <c r="D269" s="14">
        <v>45392</v>
      </c>
      <c r="E269" s="14">
        <v>45519</v>
      </c>
      <c r="F269" s="17" t="str">
        <f t="shared" si="4"/>
        <v>Apr-2024</v>
      </c>
      <c r="G269" s="2">
        <v>70442.929999999993</v>
      </c>
      <c r="H269" s="30" t="s">
        <v>941</v>
      </c>
      <c r="I269" s="32">
        <v>18</v>
      </c>
      <c r="J269" s="2">
        <v>12679.73</v>
      </c>
      <c r="K269" s="4" t="s">
        <v>44</v>
      </c>
      <c r="L269" s="4" t="s">
        <v>34</v>
      </c>
      <c r="M269" s="4" t="s">
        <v>61</v>
      </c>
      <c r="N269" s="4" t="s">
        <v>91</v>
      </c>
      <c r="O269" s="4" t="s">
        <v>111</v>
      </c>
      <c r="P269" s="6">
        <f>IF(Table3[[#This Row],[Payment Status]]="Overdue",1,0)</f>
        <v>0</v>
      </c>
      <c r="Q269" s="11"/>
      <c r="R269" s="4" t="s">
        <v>941</v>
      </c>
      <c r="S269" s="4" t="s">
        <v>67</v>
      </c>
    </row>
    <row r="270" spans="1:19" x14ac:dyDescent="0.3">
      <c r="A270" s="4" t="s">
        <v>828</v>
      </c>
      <c r="B270" s="4" t="s">
        <v>121</v>
      </c>
      <c r="C270" s="26" t="s">
        <v>829</v>
      </c>
      <c r="D270" s="14">
        <v>45760</v>
      </c>
      <c r="E270" s="14">
        <v>45803</v>
      </c>
      <c r="F270" s="17" t="str">
        <f t="shared" si="4"/>
        <v>Apr-2025</v>
      </c>
      <c r="G270" s="2">
        <v>73398.600000000006</v>
      </c>
      <c r="H270" s="30" t="s">
        <v>941</v>
      </c>
      <c r="I270" s="32">
        <v>0</v>
      </c>
      <c r="J270" s="2">
        <v>0</v>
      </c>
      <c r="K270" s="4" t="s">
        <v>165</v>
      </c>
      <c r="L270" s="4" t="s">
        <v>60</v>
      </c>
      <c r="M270" s="4" t="s">
        <v>55</v>
      </c>
      <c r="N270" s="4" t="s">
        <v>80</v>
      </c>
      <c r="O270" s="4" t="s">
        <v>25</v>
      </c>
      <c r="P270" s="6">
        <f>IF(Table3[[#This Row],[Payment Status]]="Overdue",1,0)</f>
        <v>0</v>
      </c>
      <c r="Q270" s="11"/>
      <c r="R270" s="4" t="s">
        <v>62</v>
      </c>
      <c r="S270" s="4" t="s">
        <v>85</v>
      </c>
    </row>
    <row r="271" spans="1:19" x14ac:dyDescent="0.3">
      <c r="A271" s="4" t="s">
        <v>791</v>
      </c>
      <c r="B271" s="4" t="s">
        <v>128</v>
      </c>
      <c r="C271" s="26" t="s">
        <v>792</v>
      </c>
      <c r="D271" s="14">
        <v>45895</v>
      </c>
      <c r="F271" s="17" t="str">
        <f t="shared" si="4"/>
        <v>Aug-2025</v>
      </c>
      <c r="G271" s="2">
        <v>75586.5</v>
      </c>
      <c r="H271" s="30" t="s">
        <v>941</v>
      </c>
      <c r="I271" s="32">
        <v>18</v>
      </c>
      <c r="J271" s="2">
        <v>13605.57</v>
      </c>
      <c r="K271" s="4" t="s">
        <v>33</v>
      </c>
      <c r="L271" s="4" t="s">
        <v>79</v>
      </c>
      <c r="M271" s="4" t="s">
        <v>55</v>
      </c>
      <c r="N271" s="5" t="s">
        <v>942</v>
      </c>
      <c r="O271" s="4" t="s">
        <v>92</v>
      </c>
      <c r="P271" s="6">
        <f>IF(Table3[[#This Row],[Payment Status]]="Overdue",1,0)</f>
        <v>1</v>
      </c>
      <c r="Q271" s="11"/>
      <c r="R271" s="4" t="s">
        <v>184</v>
      </c>
      <c r="S271" s="4" t="s">
        <v>63</v>
      </c>
    </row>
    <row r="272" spans="1:19" x14ac:dyDescent="0.3">
      <c r="A272" s="4" t="s">
        <v>268</v>
      </c>
      <c r="B272" s="4" t="s">
        <v>47</v>
      </c>
      <c r="C272" s="26" t="s">
        <v>269</v>
      </c>
      <c r="D272" s="14">
        <v>45930</v>
      </c>
      <c r="F272" s="17" t="str">
        <f t="shared" si="4"/>
        <v>Sep-2025</v>
      </c>
      <c r="G272" s="2">
        <v>76535.740000000005</v>
      </c>
      <c r="H272" s="30" t="s">
        <v>941</v>
      </c>
      <c r="I272" s="32">
        <v>18</v>
      </c>
      <c r="J272" s="2">
        <v>13776.43</v>
      </c>
      <c r="K272" s="4" t="s">
        <v>66</v>
      </c>
      <c r="L272" s="4" t="s">
        <v>54</v>
      </c>
      <c r="M272" s="4" t="s">
        <v>941</v>
      </c>
      <c r="N272" s="4" t="s">
        <v>26</v>
      </c>
      <c r="O272" s="4" t="s">
        <v>111</v>
      </c>
      <c r="P272" s="6">
        <f>IF(Table3[[#This Row],[Payment Status]]="Overdue",1,0)</f>
        <v>0</v>
      </c>
      <c r="Q272" s="11"/>
      <c r="R272" s="4" t="s">
        <v>20</v>
      </c>
      <c r="S272" s="5" t="s">
        <v>941</v>
      </c>
    </row>
    <row r="273" spans="1:19" x14ac:dyDescent="0.3">
      <c r="A273" s="4" t="s">
        <v>304</v>
      </c>
      <c r="B273" s="4" t="s">
        <v>155</v>
      </c>
      <c r="C273" s="26" t="s">
        <v>305</v>
      </c>
      <c r="D273" s="14">
        <v>45836</v>
      </c>
      <c r="F273" s="17" t="str">
        <f t="shared" si="4"/>
        <v>Jun-2025</v>
      </c>
      <c r="G273" s="2">
        <v>23480.57</v>
      </c>
      <c r="H273" s="30" t="s">
        <v>941</v>
      </c>
      <c r="I273" s="32">
        <v>28</v>
      </c>
      <c r="J273" s="2">
        <v>6574.56</v>
      </c>
      <c r="K273" s="4" t="s">
        <v>106</v>
      </c>
      <c r="L273" s="4" t="s">
        <v>66</v>
      </c>
      <c r="M273" s="4" t="s">
        <v>55</v>
      </c>
      <c r="N273" s="4" t="s">
        <v>91</v>
      </c>
      <c r="O273" s="4" t="s">
        <v>92</v>
      </c>
      <c r="P273" s="6">
        <f>IF(Table3[[#This Row],[Payment Status]]="Overdue",1,0)</f>
        <v>1</v>
      </c>
      <c r="Q273" s="11"/>
      <c r="R273" s="4" t="s">
        <v>28</v>
      </c>
      <c r="S273" s="4" t="s">
        <v>29</v>
      </c>
    </row>
    <row r="274" spans="1:19" x14ac:dyDescent="0.3">
      <c r="A274" s="4" t="s">
        <v>785</v>
      </c>
      <c r="B274" s="4" t="s">
        <v>128</v>
      </c>
      <c r="C274" s="27"/>
      <c r="D274" s="14">
        <v>45553</v>
      </c>
      <c r="E274" s="14">
        <v>45579</v>
      </c>
      <c r="F274" s="17" t="str">
        <f t="shared" si="4"/>
        <v>Sep-2024</v>
      </c>
      <c r="G274" s="2">
        <v>26181.49</v>
      </c>
      <c r="H274" s="30" t="s">
        <v>941</v>
      </c>
      <c r="I274" s="32">
        <v>12</v>
      </c>
      <c r="J274" s="2">
        <v>3141.78</v>
      </c>
      <c r="K274" s="4" t="s">
        <v>165</v>
      </c>
      <c r="L274" s="4" t="s">
        <v>940</v>
      </c>
      <c r="M274" s="4" t="s">
        <v>55</v>
      </c>
      <c r="N274" s="4" t="s">
        <v>26</v>
      </c>
      <c r="O274" s="4" t="s">
        <v>126</v>
      </c>
      <c r="P274" s="6">
        <f>IF(Table3[[#This Row],[Payment Status]]="Overdue",1,0)</f>
        <v>0</v>
      </c>
      <c r="Q274" s="10">
        <v>45588</v>
      </c>
      <c r="R274" s="4" t="s">
        <v>20</v>
      </c>
      <c r="S274" s="4" t="s">
        <v>63</v>
      </c>
    </row>
    <row r="275" spans="1:19" x14ac:dyDescent="0.3">
      <c r="A275" s="4" t="s">
        <v>473</v>
      </c>
      <c r="B275" s="4" t="s">
        <v>22</v>
      </c>
      <c r="C275" s="26" t="s">
        <v>474</v>
      </c>
      <c r="D275" s="14">
        <v>45321</v>
      </c>
      <c r="E275" s="14">
        <v>45655</v>
      </c>
      <c r="F275" s="17" t="str">
        <f t="shared" si="4"/>
        <v>Jan-2024</v>
      </c>
      <c r="G275" s="2">
        <v>77680.42</v>
      </c>
      <c r="H275" s="30" t="s">
        <v>941</v>
      </c>
      <c r="I275" s="32">
        <v>18</v>
      </c>
      <c r="J275" s="2">
        <v>13982.48</v>
      </c>
      <c r="K275" s="4" t="s">
        <v>33</v>
      </c>
      <c r="L275" s="4" t="s">
        <v>34</v>
      </c>
      <c r="M275" s="4" t="s">
        <v>19</v>
      </c>
      <c r="N275" s="4" t="s">
        <v>26</v>
      </c>
      <c r="O275" s="6" t="s">
        <v>941</v>
      </c>
      <c r="P275" s="6">
        <f>IF(Table3[[#This Row],[Payment Status]]="Overdue",1,0)</f>
        <v>0</v>
      </c>
      <c r="Q275" s="11"/>
      <c r="R275" s="4" t="s">
        <v>57</v>
      </c>
      <c r="S275" s="4" t="s">
        <v>63</v>
      </c>
    </row>
    <row r="276" spans="1:19" x14ac:dyDescent="0.3">
      <c r="A276" s="4" t="s">
        <v>154</v>
      </c>
      <c r="B276" s="4" t="s">
        <v>155</v>
      </c>
      <c r="C276" s="26" t="s">
        <v>156</v>
      </c>
      <c r="D276" s="14">
        <v>45767</v>
      </c>
      <c r="E276" s="14">
        <v>45844</v>
      </c>
      <c r="F276" s="17" t="str">
        <f t="shared" si="4"/>
        <v>Apr-2025</v>
      </c>
      <c r="G276" s="2">
        <v>24692.82</v>
      </c>
      <c r="H276" s="26" t="s">
        <v>18</v>
      </c>
      <c r="I276" s="32">
        <v>12</v>
      </c>
      <c r="J276" s="2">
        <v>2963.14</v>
      </c>
      <c r="K276" s="4" t="s">
        <v>143</v>
      </c>
      <c r="L276" s="4" t="s">
        <v>45</v>
      </c>
      <c r="M276" s="4" t="s">
        <v>19</v>
      </c>
      <c r="N276" s="5" t="s">
        <v>942</v>
      </c>
      <c r="O276" s="4" t="s">
        <v>126</v>
      </c>
      <c r="P276" s="6">
        <f>IF(Table3[[#This Row],[Payment Status]]="Overdue",1,0)</f>
        <v>0</v>
      </c>
      <c r="Q276" s="10">
        <v>45822</v>
      </c>
      <c r="R276" s="4" t="s">
        <v>57</v>
      </c>
      <c r="S276" s="4" t="s">
        <v>63</v>
      </c>
    </row>
    <row r="277" spans="1:19" x14ac:dyDescent="0.3">
      <c r="A277" s="4" t="s">
        <v>281</v>
      </c>
      <c r="B277" s="4" t="s">
        <v>47</v>
      </c>
      <c r="C277" s="26" t="s">
        <v>282</v>
      </c>
      <c r="D277" s="14">
        <v>45581</v>
      </c>
      <c r="E277" s="14">
        <v>45642</v>
      </c>
      <c r="F277" s="17" t="str">
        <f t="shared" si="4"/>
        <v>Oct-2024</v>
      </c>
      <c r="G277" s="2">
        <v>23315.16</v>
      </c>
      <c r="H277" s="26" t="s">
        <v>52</v>
      </c>
      <c r="I277" s="32">
        <v>18</v>
      </c>
      <c r="J277" s="2">
        <v>4196.7299999999996</v>
      </c>
      <c r="K277" s="4" t="s">
        <v>33</v>
      </c>
      <c r="L277" s="4" t="s">
        <v>66</v>
      </c>
      <c r="M277" s="4" t="s">
        <v>19</v>
      </c>
      <c r="N277" s="4" t="s">
        <v>91</v>
      </c>
      <c r="O277" s="6" t="s">
        <v>941</v>
      </c>
      <c r="P277" s="6">
        <f>IF(Table3[[#This Row],[Payment Status]]="Overdue",1,0)</f>
        <v>0</v>
      </c>
      <c r="Q277" s="11"/>
      <c r="R277" s="4" t="s">
        <v>28</v>
      </c>
      <c r="S277" s="4" t="s">
        <v>85</v>
      </c>
    </row>
    <row r="278" spans="1:19" x14ac:dyDescent="0.3">
      <c r="A278" s="4" t="s">
        <v>314</v>
      </c>
      <c r="B278" s="4" t="s">
        <v>137</v>
      </c>
      <c r="C278" s="26" t="s">
        <v>315</v>
      </c>
      <c r="D278" s="14">
        <v>45747</v>
      </c>
      <c r="F278" s="17" t="str">
        <f t="shared" si="4"/>
        <v>Mar-2025</v>
      </c>
      <c r="G278" s="2">
        <v>82627.509999999995</v>
      </c>
      <c r="H278" s="30" t="s">
        <v>941</v>
      </c>
      <c r="I278" s="32">
        <v>18</v>
      </c>
      <c r="J278" s="2">
        <v>14872.95</v>
      </c>
      <c r="K278" s="4" t="s">
        <v>230</v>
      </c>
      <c r="L278" s="4" t="s">
        <v>98</v>
      </c>
      <c r="M278" s="4" t="s">
        <v>19</v>
      </c>
      <c r="N278" s="4" t="s">
        <v>35</v>
      </c>
      <c r="O278" s="4" t="s">
        <v>939</v>
      </c>
      <c r="P278" s="6">
        <f>IF(Table3[[#This Row],[Payment Status]]="Overdue",1,0)</f>
        <v>0</v>
      </c>
      <c r="Q278" s="11"/>
      <c r="R278" s="4" t="s">
        <v>20</v>
      </c>
      <c r="S278" s="4" t="s">
        <v>41</v>
      </c>
    </row>
    <row r="279" spans="1:19" x14ac:dyDescent="0.3">
      <c r="A279" s="4" t="s">
        <v>312</v>
      </c>
      <c r="B279" s="4" t="s">
        <v>197</v>
      </c>
      <c r="C279" s="26" t="s">
        <v>313</v>
      </c>
      <c r="D279" s="14">
        <v>45796</v>
      </c>
      <c r="F279" s="17" t="str">
        <f t="shared" si="4"/>
        <v>May-2025</v>
      </c>
      <c r="G279" s="2">
        <v>17890.97</v>
      </c>
      <c r="H279" s="26" t="s">
        <v>52</v>
      </c>
      <c r="I279" s="32">
        <v>18</v>
      </c>
      <c r="J279" s="2">
        <v>3220.37</v>
      </c>
      <c r="K279" s="4" t="s">
        <v>33</v>
      </c>
      <c r="L279" s="4" t="s">
        <v>45</v>
      </c>
      <c r="M279" s="4" t="s">
        <v>19</v>
      </c>
      <c r="N279" s="4" t="s">
        <v>80</v>
      </c>
      <c r="O279" s="4" t="s">
        <v>25</v>
      </c>
      <c r="P279" s="6">
        <f>IF(Table3[[#This Row],[Payment Status]]="Overdue",1,0)</f>
        <v>0</v>
      </c>
      <c r="Q279" s="11"/>
      <c r="R279" s="4" t="s">
        <v>28</v>
      </c>
      <c r="S279" s="4" t="s">
        <v>63</v>
      </c>
    </row>
    <row r="280" spans="1:19" x14ac:dyDescent="0.3">
      <c r="A280" s="4" t="s">
        <v>423</v>
      </c>
      <c r="B280" s="4" t="s">
        <v>155</v>
      </c>
      <c r="C280" s="27"/>
      <c r="D280" s="14">
        <v>45821</v>
      </c>
      <c r="E280" s="14">
        <v>45837</v>
      </c>
      <c r="F280" s="17" t="str">
        <f t="shared" si="4"/>
        <v>Jun-2025</v>
      </c>
      <c r="G280" s="2">
        <v>75081.2</v>
      </c>
      <c r="H280" s="30" t="s">
        <v>941</v>
      </c>
      <c r="I280" s="32">
        <v>18</v>
      </c>
      <c r="J280" s="2">
        <v>13514.62</v>
      </c>
      <c r="K280" s="4" t="s">
        <v>66</v>
      </c>
      <c r="L280" s="4" t="s">
        <v>60</v>
      </c>
      <c r="M280" s="4" t="s">
        <v>39</v>
      </c>
      <c r="N280" s="4" t="s">
        <v>80</v>
      </c>
      <c r="O280" s="4" t="s">
        <v>92</v>
      </c>
      <c r="P280" s="6">
        <f>IF(Table3[[#This Row],[Payment Status]]="Overdue",1,0)</f>
        <v>1</v>
      </c>
      <c r="R280" s="4" t="s">
        <v>57</v>
      </c>
      <c r="S280" s="4" t="s">
        <v>63</v>
      </c>
    </row>
    <row r="281" spans="1:19" x14ac:dyDescent="0.3">
      <c r="A281" s="4" t="s">
        <v>479</v>
      </c>
      <c r="B281" s="4" t="s">
        <v>31</v>
      </c>
      <c r="C281" s="26" t="s">
        <v>932</v>
      </c>
      <c r="D281" s="14">
        <v>45725</v>
      </c>
      <c r="F281" s="17" t="str">
        <f t="shared" si="4"/>
        <v>Mar-2025</v>
      </c>
      <c r="G281" s="2">
        <v>16855</v>
      </c>
      <c r="H281" s="26" t="s">
        <v>52</v>
      </c>
      <c r="I281" s="32">
        <v>0</v>
      </c>
      <c r="J281" s="2">
        <v>0</v>
      </c>
      <c r="K281" s="4" t="s">
        <v>66</v>
      </c>
      <c r="L281" s="4" t="s">
        <v>98</v>
      </c>
      <c r="M281" s="4" t="s">
        <v>39</v>
      </c>
      <c r="N281" s="4" t="s">
        <v>80</v>
      </c>
      <c r="O281" s="4" t="s">
        <v>939</v>
      </c>
      <c r="P281" s="6">
        <f>IF(Table3[[#This Row],[Payment Status]]="Overdue",1,0)</f>
        <v>0</v>
      </c>
      <c r="Q281" s="11"/>
      <c r="R281" s="4" t="s">
        <v>62</v>
      </c>
      <c r="S281" s="4" t="s">
        <v>41</v>
      </c>
    </row>
    <row r="282" spans="1:19" x14ac:dyDescent="0.3">
      <c r="A282" s="4" t="s">
        <v>447</v>
      </c>
      <c r="B282" s="4" t="s">
        <v>163</v>
      </c>
      <c r="C282" s="27"/>
      <c r="D282" s="14">
        <v>45379</v>
      </c>
      <c r="E282" s="14">
        <v>45762</v>
      </c>
      <c r="F282" s="17" t="str">
        <f t="shared" si="4"/>
        <v>Mar-2024</v>
      </c>
      <c r="G282" s="2">
        <v>32171.98</v>
      </c>
      <c r="H282" s="26" t="s">
        <v>52</v>
      </c>
      <c r="I282" s="32">
        <v>28</v>
      </c>
      <c r="J282" s="2">
        <v>9008.15</v>
      </c>
      <c r="K282" s="4" t="s">
        <v>165</v>
      </c>
      <c r="L282" s="4" t="s">
        <v>60</v>
      </c>
      <c r="M282" s="4" t="s">
        <v>941</v>
      </c>
      <c r="N282" s="4" t="s">
        <v>80</v>
      </c>
      <c r="O282" s="4" t="s">
        <v>126</v>
      </c>
      <c r="P282" s="6">
        <f>IF(Table3[[#This Row],[Payment Status]]="Overdue",1,0)</f>
        <v>0</v>
      </c>
      <c r="Q282" s="10">
        <v>45435</v>
      </c>
      <c r="R282" s="4" t="s">
        <v>57</v>
      </c>
      <c r="S282" s="4" t="s">
        <v>88</v>
      </c>
    </row>
    <row r="283" spans="1:19" x14ac:dyDescent="0.3">
      <c r="A283" s="4" t="s">
        <v>216</v>
      </c>
      <c r="B283" s="4" t="s">
        <v>50</v>
      </c>
      <c r="C283" s="26" t="s">
        <v>217</v>
      </c>
      <c r="D283" s="14">
        <v>45901</v>
      </c>
      <c r="E283" s="14">
        <v>45926</v>
      </c>
      <c r="F283" s="17" t="str">
        <f t="shared" si="4"/>
        <v>Sep-2025</v>
      </c>
      <c r="G283" s="2">
        <v>38678.410000000003</v>
      </c>
      <c r="H283" s="26" t="s">
        <v>18</v>
      </c>
      <c r="I283" s="32">
        <v>0</v>
      </c>
      <c r="J283" s="2">
        <v>0</v>
      </c>
      <c r="K283" s="4" t="s">
        <v>53</v>
      </c>
      <c r="L283" s="4" t="s">
        <v>54</v>
      </c>
      <c r="M283" s="4" t="s">
        <v>55</v>
      </c>
      <c r="N283" s="5" t="s">
        <v>942</v>
      </c>
      <c r="O283" s="4" t="s">
        <v>92</v>
      </c>
      <c r="P283" s="6">
        <f>IF(Table3[[#This Row],[Payment Status]]="Overdue",1,0)</f>
        <v>1</v>
      </c>
      <c r="Q283" s="11"/>
      <c r="R283" s="4" t="s">
        <v>184</v>
      </c>
      <c r="S283" s="4" t="s">
        <v>67</v>
      </c>
    </row>
    <row r="284" spans="1:19" x14ac:dyDescent="0.3">
      <c r="A284" s="4" t="s">
        <v>444</v>
      </c>
      <c r="B284" s="4" t="s">
        <v>206</v>
      </c>
      <c r="C284" s="26" t="s">
        <v>445</v>
      </c>
      <c r="D284" s="14">
        <v>45482</v>
      </c>
      <c r="E284" s="14">
        <v>45889</v>
      </c>
      <c r="F284" s="17" t="str">
        <f t="shared" si="4"/>
        <v>Jul-2024</v>
      </c>
      <c r="G284" s="2">
        <v>12657.66</v>
      </c>
      <c r="H284" s="26" t="s">
        <v>72</v>
      </c>
      <c r="I284" s="32">
        <v>0</v>
      </c>
      <c r="J284" s="2">
        <v>0</v>
      </c>
      <c r="K284" s="4" t="s">
        <v>44</v>
      </c>
      <c r="L284" s="4" t="s">
        <v>24</v>
      </c>
      <c r="M284" s="4" t="s">
        <v>55</v>
      </c>
      <c r="N284" s="5" t="s">
        <v>942</v>
      </c>
      <c r="O284" s="4" t="s">
        <v>939</v>
      </c>
      <c r="P284" s="6">
        <f>IF(Table3[[#This Row],[Payment Status]]="Overdue",1,0)</f>
        <v>0</v>
      </c>
      <c r="Q284" s="11"/>
      <c r="R284" s="4" t="s">
        <v>36</v>
      </c>
      <c r="S284" s="4" t="s">
        <v>63</v>
      </c>
    </row>
    <row r="285" spans="1:19" x14ac:dyDescent="0.3">
      <c r="A285" s="4" t="s">
        <v>285</v>
      </c>
      <c r="B285" s="4" t="s">
        <v>47</v>
      </c>
      <c r="C285" s="26" t="s">
        <v>286</v>
      </c>
      <c r="D285" s="14">
        <v>45989</v>
      </c>
      <c r="E285" s="22"/>
      <c r="F285" s="18" t="str">
        <f t="shared" si="4"/>
        <v>Nov-2025</v>
      </c>
      <c r="G285" s="2">
        <v>52426.35</v>
      </c>
      <c r="H285" s="26" t="s">
        <v>18</v>
      </c>
      <c r="I285" s="32">
        <v>28</v>
      </c>
      <c r="J285" s="2">
        <v>14679.38</v>
      </c>
      <c r="K285" s="4" t="s">
        <v>73</v>
      </c>
      <c r="L285" s="4" t="s">
        <v>45</v>
      </c>
      <c r="M285" s="4" t="s">
        <v>25</v>
      </c>
      <c r="N285" s="4" t="s">
        <v>91</v>
      </c>
      <c r="O285" s="4" t="s">
        <v>111</v>
      </c>
      <c r="P285" s="6">
        <f>IF(Table3[[#This Row],[Payment Status]]="Overdue",1,0)</f>
        <v>0</v>
      </c>
      <c r="Q285" s="11"/>
      <c r="R285" s="4" t="s">
        <v>62</v>
      </c>
      <c r="S285" s="4" t="s">
        <v>63</v>
      </c>
    </row>
    <row r="286" spans="1:19" x14ac:dyDescent="0.3">
      <c r="A286" s="4" t="s">
        <v>224</v>
      </c>
      <c r="B286" s="4" t="s">
        <v>137</v>
      </c>
      <c r="C286" s="26" t="s">
        <v>225</v>
      </c>
      <c r="D286" s="14">
        <v>45437</v>
      </c>
      <c r="E286" s="14">
        <v>45796</v>
      </c>
      <c r="F286" s="17" t="str">
        <f t="shared" si="4"/>
        <v>May-2024</v>
      </c>
      <c r="G286" s="2">
        <v>53718.74</v>
      </c>
      <c r="H286" s="26" t="s">
        <v>18</v>
      </c>
      <c r="I286" s="32">
        <v>0</v>
      </c>
      <c r="J286" s="2">
        <v>0</v>
      </c>
      <c r="K286" s="4" t="s">
        <v>230</v>
      </c>
      <c r="L286" s="4" t="s">
        <v>54</v>
      </c>
      <c r="M286" s="4" t="s">
        <v>19</v>
      </c>
      <c r="N286" s="4" t="s">
        <v>56</v>
      </c>
      <c r="O286" s="4" t="s">
        <v>939</v>
      </c>
      <c r="P286" s="6">
        <f>IF(Table3[[#This Row],[Payment Status]]="Overdue",1,0)</f>
        <v>0</v>
      </c>
      <c r="Q286" s="11"/>
      <c r="R286" s="4" t="s">
        <v>20</v>
      </c>
      <c r="S286" s="4" t="s">
        <v>88</v>
      </c>
    </row>
    <row r="287" spans="1:19" x14ac:dyDescent="0.3">
      <c r="A287" s="4" t="s">
        <v>635</v>
      </c>
      <c r="B287" s="4" t="s">
        <v>77</v>
      </c>
      <c r="C287" s="26" t="s">
        <v>636</v>
      </c>
      <c r="D287" s="14">
        <v>45759</v>
      </c>
      <c r="E287" s="14">
        <v>45848</v>
      </c>
      <c r="F287" s="17" t="str">
        <f t="shared" si="4"/>
        <v>Apr-2025</v>
      </c>
      <c r="G287" s="2">
        <v>56228.1</v>
      </c>
      <c r="H287" s="26" t="s">
        <v>72</v>
      </c>
      <c r="I287" s="32">
        <v>18</v>
      </c>
      <c r="J287" s="2">
        <v>10121.06</v>
      </c>
      <c r="K287" s="4" t="s">
        <v>143</v>
      </c>
      <c r="L287" s="4" t="s">
        <v>98</v>
      </c>
      <c r="M287" s="4" t="s">
        <v>55</v>
      </c>
      <c r="N287" s="4" t="s">
        <v>91</v>
      </c>
      <c r="O287" s="4" t="s">
        <v>92</v>
      </c>
      <c r="P287" s="6">
        <f>IF(Table3[[#This Row],[Payment Status]]="Overdue",1,0)</f>
        <v>1</v>
      </c>
      <c r="Q287" s="11"/>
      <c r="R287" s="4" t="s">
        <v>40</v>
      </c>
      <c r="S287" s="4" t="s">
        <v>63</v>
      </c>
    </row>
    <row r="288" spans="1:19" x14ac:dyDescent="0.3">
      <c r="A288" s="4" t="s">
        <v>554</v>
      </c>
      <c r="B288" s="4" t="s">
        <v>197</v>
      </c>
      <c r="C288" s="26" t="s">
        <v>555</v>
      </c>
      <c r="D288" s="14">
        <v>45578</v>
      </c>
      <c r="E288" s="14">
        <v>45592</v>
      </c>
      <c r="F288" s="17" t="str">
        <f t="shared" si="4"/>
        <v>Oct-2024</v>
      </c>
      <c r="G288" s="2">
        <v>82317.41</v>
      </c>
      <c r="H288" s="30" t="s">
        <v>941</v>
      </c>
      <c r="I288" s="32">
        <v>28</v>
      </c>
      <c r="J288" s="2">
        <v>23048.87</v>
      </c>
      <c r="K288" s="4" t="s">
        <v>44</v>
      </c>
      <c r="L288" s="4" t="s">
        <v>940</v>
      </c>
      <c r="M288" s="4" t="s">
        <v>39</v>
      </c>
      <c r="N288" s="4" t="s">
        <v>100</v>
      </c>
      <c r="O288" s="4" t="s">
        <v>111</v>
      </c>
      <c r="P288" s="6">
        <f>IF(Table3[[#This Row],[Payment Status]]="Overdue",1,0)</f>
        <v>0</v>
      </c>
      <c r="Q288" s="11"/>
      <c r="R288" s="4" t="s">
        <v>28</v>
      </c>
      <c r="S288" s="4" t="s">
        <v>41</v>
      </c>
    </row>
    <row r="289" spans="1:19" x14ac:dyDescent="0.3">
      <c r="A289" s="4" t="s">
        <v>564</v>
      </c>
      <c r="B289" s="4" t="s">
        <v>163</v>
      </c>
      <c r="C289" s="26" t="s">
        <v>565</v>
      </c>
      <c r="D289" s="14">
        <v>45329</v>
      </c>
      <c r="E289" s="14">
        <v>45754</v>
      </c>
      <c r="F289" s="17" t="str">
        <f t="shared" si="4"/>
        <v>Feb-2024</v>
      </c>
      <c r="G289" s="2">
        <v>38508.99</v>
      </c>
      <c r="H289" s="30" t="s">
        <v>941</v>
      </c>
      <c r="I289" s="32">
        <v>18</v>
      </c>
      <c r="J289" s="2">
        <v>6931.62</v>
      </c>
      <c r="K289" s="4" t="s">
        <v>97</v>
      </c>
      <c r="L289" s="4" t="s">
        <v>79</v>
      </c>
      <c r="M289" s="4" t="s">
        <v>39</v>
      </c>
      <c r="N289" s="5" t="s">
        <v>942</v>
      </c>
      <c r="O289" s="4" t="s">
        <v>92</v>
      </c>
      <c r="P289" s="6">
        <f>IF(Table3[[#This Row],[Payment Status]]="Overdue",1,0)</f>
        <v>1</v>
      </c>
      <c r="Q289" s="11"/>
      <c r="R289" s="4" t="s">
        <v>36</v>
      </c>
      <c r="S289" s="4" t="s">
        <v>29</v>
      </c>
    </row>
    <row r="290" spans="1:19" x14ac:dyDescent="0.3">
      <c r="A290" s="4" t="s">
        <v>488</v>
      </c>
      <c r="B290" s="4" t="s">
        <v>47</v>
      </c>
      <c r="C290" s="26" t="s">
        <v>489</v>
      </c>
      <c r="D290" s="14">
        <v>45683</v>
      </c>
      <c r="E290" s="14">
        <v>45842</v>
      </c>
      <c r="F290" s="17" t="str">
        <f t="shared" si="4"/>
        <v>Jan-2025</v>
      </c>
      <c r="G290" s="2">
        <v>19987.12</v>
      </c>
      <c r="H290" s="26" t="s">
        <v>52</v>
      </c>
      <c r="I290" s="32">
        <v>0</v>
      </c>
      <c r="J290" s="2">
        <v>0</v>
      </c>
      <c r="K290" s="4" t="s">
        <v>143</v>
      </c>
      <c r="L290" s="4" t="s">
        <v>60</v>
      </c>
      <c r="M290" s="4" t="s">
        <v>19</v>
      </c>
      <c r="N290" s="5" t="s">
        <v>942</v>
      </c>
      <c r="O290" s="4" t="s">
        <v>92</v>
      </c>
      <c r="P290" s="6">
        <f>IF(Table3[[#This Row],[Payment Status]]="Overdue",1,0)</f>
        <v>1</v>
      </c>
      <c r="Q290" s="11"/>
      <c r="R290" s="4" t="s">
        <v>20</v>
      </c>
      <c r="S290" s="4" t="s">
        <v>63</v>
      </c>
    </row>
    <row r="291" spans="1:19" x14ac:dyDescent="0.3">
      <c r="A291" s="4" t="s">
        <v>382</v>
      </c>
      <c r="B291" s="4" t="s">
        <v>77</v>
      </c>
      <c r="C291" s="26" t="s">
        <v>383</v>
      </c>
      <c r="D291" s="14">
        <v>45910</v>
      </c>
      <c r="F291" s="17" t="str">
        <f t="shared" si="4"/>
        <v>Sep-2025</v>
      </c>
      <c r="G291" s="2">
        <v>77565.66</v>
      </c>
      <c r="H291" s="26" t="s">
        <v>72</v>
      </c>
      <c r="I291" s="32">
        <v>28</v>
      </c>
      <c r="J291" s="2">
        <v>21718.38</v>
      </c>
      <c r="K291" s="4" t="s">
        <v>44</v>
      </c>
      <c r="L291" s="4" t="s">
        <v>70</v>
      </c>
      <c r="M291" s="4" t="s">
        <v>25</v>
      </c>
      <c r="N291" s="4" t="s">
        <v>117</v>
      </c>
      <c r="O291" s="4" t="s">
        <v>939</v>
      </c>
      <c r="P291" s="6">
        <f>IF(Table3[[#This Row],[Payment Status]]="Overdue",1,0)</f>
        <v>0</v>
      </c>
      <c r="Q291" s="11"/>
      <c r="R291" s="4" t="s">
        <v>36</v>
      </c>
      <c r="S291" s="4" t="s">
        <v>63</v>
      </c>
    </row>
    <row r="292" spans="1:19" x14ac:dyDescent="0.3">
      <c r="A292" s="4" t="s">
        <v>879</v>
      </c>
      <c r="B292" s="4" t="s">
        <v>47</v>
      </c>
      <c r="C292" s="26" t="s">
        <v>880</v>
      </c>
      <c r="D292" s="14">
        <v>45484</v>
      </c>
      <c r="E292" s="14">
        <v>45992</v>
      </c>
      <c r="F292" s="17" t="str">
        <f t="shared" si="4"/>
        <v>Jul-2024</v>
      </c>
      <c r="G292" s="2">
        <v>17933.27</v>
      </c>
      <c r="H292" s="26" t="s">
        <v>18</v>
      </c>
      <c r="I292" s="32">
        <v>12</v>
      </c>
      <c r="J292" s="2">
        <v>2151.9899999999998</v>
      </c>
      <c r="K292" s="4" t="s">
        <v>230</v>
      </c>
      <c r="L292" s="4" t="s">
        <v>940</v>
      </c>
      <c r="M292" s="4" t="s">
        <v>55</v>
      </c>
      <c r="N292" s="4" t="s">
        <v>91</v>
      </c>
      <c r="O292" s="4" t="s">
        <v>92</v>
      </c>
      <c r="P292" s="6">
        <f>IF(Table3[[#This Row],[Payment Status]]="Overdue",1,0)</f>
        <v>1</v>
      </c>
      <c r="Q292" s="11"/>
      <c r="R292" s="4" t="s">
        <v>941</v>
      </c>
      <c r="S292" s="4" t="s">
        <v>85</v>
      </c>
    </row>
    <row r="293" spans="1:19" x14ac:dyDescent="0.3">
      <c r="A293" s="4" t="s">
        <v>810</v>
      </c>
      <c r="B293" s="4" t="s">
        <v>47</v>
      </c>
      <c r="C293" s="26" t="s">
        <v>811</v>
      </c>
      <c r="D293" s="14">
        <v>45419</v>
      </c>
      <c r="E293" s="22"/>
      <c r="F293" s="18" t="str">
        <f t="shared" si="4"/>
        <v>May-2024</v>
      </c>
      <c r="G293" s="2">
        <v>73710.259999999995</v>
      </c>
      <c r="H293" s="26" t="s">
        <v>52</v>
      </c>
      <c r="I293" s="32">
        <v>0</v>
      </c>
      <c r="J293" s="2">
        <v>0</v>
      </c>
      <c r="K293" s="4" t="s">
        <v>66</v>
      </c>
      <c r="L293" s="4" t="s">
        <v>60</v>
      </c>
      <c r="M293" s="4" t="s">
        <v>19</v>
      </c>
      <c r="N293" s="4" t="s">
        <v>56</v>
      </c>
      <c r="O293" s="6" t="s">
        <v>941</v>
      </c>
      <c r="P293" s="6">
        <f>IF(Table3[[#This Row],[Payment Status]]="Overdue",1,0)</f>
        <v>0</v>
      </c>
      <c r="Q293" s="11"/>
      <c r="R293" s="4" t="s">
        <v>57</v>
      </c>
      <c r="S293" s="4" t="s">
        <v>29</v>
      </c>
    </row>
    <row r="294" spans="1:19" x14ac:dyDescent="0.3">
      <c r="A294" s="4" t="s">
        <v>716</v>
      </c>
      <c r="B294" s="4" t="s">
        <v>31</v>
      </c>
      <c r="C294" s="26" t="s">
        <v>717</v>
      </c>
      <c r="D294" s="14">
        <v>45457</v>
      </c>
      <c r="E294" s="14">
        <v>45828</v>
      </c>
      <c r="F294" s="17" t="str">
        <f t="shared" si="4"/>
        <v>Jun-2024</v>
      </c>
      <c r="G294" s="2">
        <v>31430.14</v>
      </c>
      <c r="H294" s="26" t="s">
        <v>52</v>
      </c>
      <c r="I294" s="32">
        <v>18</v>
      </c>
      <c r="J294" s="2">
        <v>5657.43</v>
      </c>
      <c r="K294" s="4" t="s">
        <v>165</v>
      </c>
      <c r="L294" s="4" t="s">
        <v>98</v>
      </c>
      <c r="M294" s="4" t="s">
        <v>25</v>
      </c>
      <c r="N294" s="5" t="s">
        <v>942</v>
      </c>
      <c r="O294" s="4" t="s">
        <v>939</v>
      </c>
      <c r="P294" s="6">
        <f>IF(Table3[[#This Row],[Payment Status]]="Overdue",1,0)</f>
        <v>0</v>
      </c>
      <c r="Q294" s="11"/>
      <c r="R294" s="4" t="s">
        <v>184</v>
      </c>
      <c r="S294" s="4" t="s">
        <v>67</v>
      </c>
    </row>
    <row r="295" spans="1:19" x14ac:dyDescent="0.3">
      <c r="A295" s="4" t="s">
        <v>258</v>
      </c>
      <c r="B295" s="4" t="s">
        <v>77</v>
      </c>
      <c r="C295" s="26" t="s">
        <v>259</v>
      </c>
      <c r="D295" s="14">
        <v>45438</v>
      </c>
      <c r="E295" s="14">
        <v>45971</v>
      </c>
      <c r="F295" s="17" t="str">
        <f t="shared" si="4"/>
        <v>May-2024</v>
      </c>
      <c r="G295" s="2">
        <v>51471.4</v>
      </c>
      <c r="H295" s="26" t="s">
        <v>18</v>
      </c>
      <c r="I295" s="32">
        <v>18</v>
      </c>
      <c r="J295" s="2">
        <v>9264.85</v>
      </c>
      <c r="K295" s="4" t="s">
        <v>73</v>
      </c>
      <c r="L295" s="4" t="s">
        <v>940</v>
      </c>
      <c r="M295" s="4" t="s">
        <v>55</v>
      </c>
      <c r="N295" s="4" t="s">
        <v>91</v>
      </c>
      <c r="O295" s="4" t="s">
        <v>25</v>
      </c>
      <c r="P295" s="6">
        <f>IF(Table3[[#This Row],[Payment Status]]="Overdue",1,0)</f>
        <v>0</v>
      </c>
      <c r="Q295" s="11"/>
      <c r="R295" s="4" t="s">
        <v>28</v>
      </c>
      <c r="S295" s="4" t="s">
        <v>63</v>
      </c>
    </row>
    <row r="296" spans="1:19" x14ac:dyDescent="0.3">
      <c r="A296" s="4" t="s">
        <v>575</v>
      </c>
      <c r="B296" s="4" t="s">
        <v>923</v>
      </c>
      <c r="C296" s="26" t="s">
        <v>576</v>
      </c>
      <c r="D296" s="14">
        <v>45336</v>
      </c>
      <c r="E296" s="14">
        <v>45681</v>
      </c>
      <c r="F296" s="17" t="str">
        <f t="shared" si="4"/>
        <v>Feb-2024</v>
      </c>
      <c r="G296" s="2">
        <v>23379.919999999998</v>
      </c>
      <c r="H296" s="26" t="s">
        <v>52</v>
      </c>
      <c r="I296" s="32">
        <v>18</v>
      </c>
      <c r="J296" s="2">
        <v>4208.3900000000003</v>
      </c>
      <c r="K296" s="4" t="s">
        <v>230</v>
      </c>
      <c r="L296" s="4" t="s">
        <v>60</v>
      </c>
      <c r="M296" s="4" t="s">
        <v>39</v>
      </c>
      <c r="N296" s="4" t="s">
        <v>117</v>
      </c>
      <c r="O296" s="4" t="s">
        <v>92</v>
      </c>
      <c r="P296" s="6">
        <f>IF(Table3[[#This Row],[Payment Status]]="Overdue",1,0)</f>
        <v>1</v>
      </c>
      <c r="Q296" s="11"/>
      <c r="R296" s="4" t="s">
        <v>184</v>
      </c>
      <c r="S296" s="4" t="s">
        <v>63</v>
      </c>
    </row>
    <row r="297" spans="1:19" x14ac:dyDescent="0.3">
      <c r="A297" s="4" t="s">
        <v>835</v>
      </c>
      <c r="B297" s="4" t="s">
        <v>190</v>
      </c>
      <c r="C297" s="26" t="s">
        <v>836</v>
      </c>
      <c r="D297" s="14">
        <v>45612</v>
      </c>
      <c r="E297" s="14">
        <v>45700</v>
      </c>
      <c r="F297" s="17" t="str">
        <f t="shared" si="4"/>
        <v>Nov-2024</v>
      </c>
      <c r="G297" s="2">
        <v>3355.18</v>
      </c>
      <c r="H297" s="26" t="s">
        <v>52</v>
      </c>
      <c r="I297" s="32">
        <v>5</v>
      </c>
      <c r="J297" s="2">
        <v>167.76</v>
      </c>
      <c r="K297" s="4" t="s">
        <v>143</v>
      </c>
      <c r="L297" s="4" t="s">
        <v>66</v>
      </c>
      <c r="M297" s="4" t="s">
        <v>39</v>
      </c>
      <c r="N297" s="4" t="s">
        <v>56</v>
      </c>
      <c r="O297" s="4" t="s">
        <v>939</v>
      </c>
      <c r="P297" s="6">
        <f>IF(Table3[[#This Row],[Payment Status]]="Overdue",1,0)</f>
        <v>0</v>
      </c>
      <c r="Q297" s="11"/>
      <c r="R297" s="4" t="s">
        <v>28</v>
      </c>
      <c r="S297" s="4" t="s">
        <v>29</v>
      </c>
    </row>
    <row r="298" spans="1:19" x14ac:dyDescent="0.3">
      <c r="A298" s="4" t="s">
        <v>521</v>
      </c>
      <c r="B298" s="4" t="s">
        <v>155</v>
      </c>
      <c r="C298" s="26" t="s">
        <v>522</v>
      </c>
      <c r="D298" s="14">
        <v>45571</v>
      </c>
      <c r="E298" s="14">
        <v>45764</v>
      </c>
      <c r="F298" s="17" t="str">
        <f t="shared" si="4"/>
        <v>Oct-2024</v>
      </c>
      <c r="G298" s="2">
        <v>15248.23</v>
      </c>
      <c r="H298" s="26" t="s">
        <v>18</v>
      </c>
      <c r="I298" s="32">
        <v>18</v>
      </c>
      <c r="J298" s="2">
        <v>2744.68</v>
      </c>
      <c r="K298" s="4" t="s">
        <v>97</v>
      </c>
      <c r="L298" s="4" t="s">
        <v>34</v>
      </c>
      <c r="M298" s="4" t="s">
        <v>39</v>
      </c>
      <c r="N298" s="4" t="s">
        <v>80</v>
      </c>
      <c r="O298" s="4" t="s">
        <v>126</v>
      </c>
      <c r="P298" s="6">
        <f>IF(Table3[[#This Row],[Payment Status]]="Overdue",1,0)</f>
        <v>0</v>
      </c>
      <c r="Q298" s="10">
        <v>45423</v>
      </c>
      <c r="R298" s="4" t="s">
        <v>40</v>
      </c>
      <c r="S298" s="4" t="s">
        <v>29</v>
      </c>
    </row>
    <row r="299" spans="1:19" x14ac:dyDescent="0.3">
      <c r="A299" s="4" t="s">
        <v>726</v>
      </c>
      <c r="B299" s="4" t="s">
        <v>47</v>
      </c>
      <c r="C299" s="27"/>
      <c r="D299" s="14">
        <v>45690</v>
      </c>
      <c r="F299" s="17" t="str">
        <f t="shared" si="4"/>
        <v>Feb-2025</v>
      </c>
      <c r="G299" s="2">
        <v>5751.48</v>
      </c>
      <c r="H299" s="26" t="s">
        <v>52</v>
      </c>
      <c r="I299" s="32">
        <v>12</v>
      </c>
      <c r="J299" s="2">
        <v>690.18</v>
      </c>
      <c r="K299" s="4" t="s">
        <v>97</v>
      </c>
      <c r="L299" s="4" t="s">
        <v>54</v>
      </c>
      <c r="M299" s="4" t="s">
        <v>25</v>
      </c>
      <c r="N299" s="4" t="s">
        <v>100</v>
      </c>
      <c r="O299" s="4" t="s">
        <v>126</v>
      </c>
      <c r="P299" s="6">
        <f>IF(Table3[[#This Row],[Payment Status]]="Overdue",1,0)</f>
        <v>0</v>
      </c>
      <c r="Q299" s="10">
        <v>45712</v>
      </c>
      <c r="R299" s="4" t="s">
        <v>40</v>
      </c>
      <c r="S299" s="4" t="s">
        <v>41</v>
      </c>
    </row>
    <row r="300" spans="1:19" x14ac:dyDescent="0.3">
      <c r="A300" s="4" t="s">
        <v>192</v>
      </c>
      <c r="B300" s="4" t="s">
        <v>163</v>
      </c>
      <c r="C300" s="26" t="s">
        <v>193</v>
      </c>
      <c r="D300" s="14">
        <v>45683</v>
      </c>
      <c r="F300" s="17" t="str">
        <f t="shared" si="4"/>
        <v>Jan-2025</v>
      </c>
      <c r="G300" s="2">
        <v>42865.19</v>
      </c>
      <c r="H300" s="26" t="s">
        <v>72</v>
      </c>
      <c r="I300" s="32">
        <v>18</v>
      </c>
      <c r="J300" s="2">
        <v>7715.73</v>
      </c>
      <c r="K300" s="4" t="s">
        <v>106</v>
      </c>
      <c r="L300" s="4" t="s">
        <v>70</v>
      </c>
      <c r="M300" s="4" t="s">
        <v>39</v>
      </c>
      <c r="N300" s="4" t="s">
        <v>56</v>
      </c>
      <c r="O300" s="4" t="s">
        <v>939</v>
      </c>
      <c r="P300" s="6">
        <f>IF(Table3[[#This Row],[Payment Status]]="Overdue",1,0)</f>
        <v>0</v>
      </c>
      <c r="Q300" s="11"/>
      <c r="R300" s="4" t="s">
        <v>36</v>
      </c>
      <c r="S300" s="4" t="s">
        <v>41</v>
      </c>
    </row>
    <row r="301" spans="1:19" x14ac:dyDescent="0.3">
      <c r="A301" s="4" t="s">
        <v>176</v>
      </c>
      <c r="B301" s="4" t="s">
        <v>121</v>
      </c>
      <c r="C301" s="26" t="s">
        <v>177</v>
      </c>
      <c r="D301" s="14">
        <v>45489</v>
      </c>
      <c r="E301" s="14">
        <v>45833</v>
      </c>
      <c r="F301" s="17" t="str">
        <f t="shared" si="4"/>
        <v>Jul-2024</v>
      </c>
      <c r="G301" s="2">
        <v>79762.59</v>
      </c>
      <c r="H301" s="26" t="s">
        <v>72</v>
      </c>
      <c r="I301" s="32">
        <v>28</v>
      </c>
      <c r="J301" s="2">
        <v>22333.53</v>
      </c>
      <c r="K301" s="4" t="s">
        <v>143</v>
      </c>
      <c r="L301" s="4" t="s">
        <v>98</v>
      </c>
      <c r="M301" s="4" t="s">
        <v>19</v>
      </c>
      <c r="N301" s="4" t="s">
        <v>35</v>
      </c>
      <c r="O301" s="4" t="s">
        <v>25</v>
      </c>
      <c r="P301" s="6">
        <f>IF(Table3[[#This Row],[Payment Status]]="Overdue",1,0)</f>
        <v>0</v>
      </c>
      <c r="Q301" s="11"/>
      <c r="R301" s="4" t="s">
        <v>36</v>
      </c>
      <c r="S301" s="4" t="s">
        <v>88</v>
      </c>
    </row>
    <row r="302" spans="1:19" x14ac:dyDescent="0.3">
      <c r="A302" s="4" t="s">
        <v>272</v>
      </c>
      <c r="B302" s="4" t="s">
        <v>630</v>
      </c>
      <c r="C302" s="27"/>
      <c r="D302" s="14">
        <v>45743</v>
      </c>
      <c r="E302" s="14">
        <v>45809</v>
      </c>
      <c r="F302" s="17" t="str">
        <f t="shared" si="4"/>
        <v>Mar-2025</v>
      </c>
      <c r="G302" s="2">
        <v>62508.65</v>
      </c>
      <c r="H302" s="26" t="s">
        <v>52</v>
      </c>
      <c r="I302" s="32">
        <v>28</v>
      </c>
      <c r="J302" s="2">
        <v>17502.419999999998</v>
      </c>
      <c r="K302" s="4" t="s">
        <v>66</v>
      </c>
      <c r="L302" s="4" t="s">
        <v>45</v>
      </c>
      <c r="M302" s="4" t="s">
        <v>39</v>
      </c>
      <c r="N302" s="4" t="s">
        <v>35</v>
      </c>
      <c r="O302" s="4" t="s">
        <v>27</v>
      </c>
      <c r="P302" s="6">
        <f>IF(Table3[[#This Row],[Payment Status]]="Overdue",1,0)</f>
        <v>0</v>
      </c>
      <c r="Q302" s="11"/>
      <c r="R302" s="4" t="s">
        <v>28</v>
      </c>
      <c r="S302" s="4" t="s">
        <v>41</v>
      </c>
    </row>
    <row r="303" spans="1:19" x14ac:dyDescent="0.3">
      <c r="A303" s="4" t="s">
        <v>459</v>
      </c>
      <c r="B303" s="4" t="s">
        <v>121</v>
      </c>
      <c r="C303" s="26" t="s">
        <v>460</v>
      </c>
      <c r="D303" s="14">
        <v>45450</v>
      </c>
      <c r="E303" s="14">
        <v>45464</v>
      </c>
      <c r="F303" s="17" t="str">
        <f t="shared" si="4"/>
        <v>Jun-2024</v>
      </c>
      <c r="G303" s="2">
        <v>1238.99</v>
      </c>
      <c r="H303" s="26" t="s">
        <v>52</v>
      </c>
      <c r="I303" s="32">
        <v>18</v>
      </c>
      <c r="J303" s="2">
        <v>223.02</v>
      </c>
      <c r="K303" s="4" t="s">
        <v>73</v>
      </c>
      <c r="L303" s="4" t="s">
        <v>79</v>
      </c>
      <c r="M303" s="4" t="s">
        <v>55</v>
      </c>
      <c r="N303" s="4" t="s">
        <v>91</v>
      </c>
      <c r="O303" s="4" t="s">
        <v>126</v>
      </c>
      <c r="P303" s="6">
        <f>IF(Table3[[#This Row],[Payment Status]]="Overdue",1,0)</f>
        <v>0</v>
      </c>
      <c r="Q303" s="10">
        <v>45510</v>
      </c>
      <c r="R303" s="4" t="s">
        <v>20</v>
      </c>
      <c r="S303" s="5" t="s">
        <v>941</v>
      </c>
    </row>
    <row r="304" spans="1:19" x14ac:dyDescent="0.3">
      <c r="A304" s="4" t="s">
        <v>790</v>
      </c>
      <c r="B304" s="4" t="s">
        <v>197</v>
      </c>
      <c r="C304" s="27"/>
      <c r="D304" s="14">
        <v>45465</v>
      </c>
      <c r="E304" s="14">
        <v>45686</v>
      </c>
      <c r="F304" s="17" t="str">
        <f t="shared" si="4"/>
        <v>Jun-2024</v>
      </c>
      <c r="G304" s="2">
        <v>20713.64</v>
      </c>
      <c r="H304" s="26" t="s">
        <v>18</v>
      </c>
      <c r="I304" s="32">
        <v>18</v>
      </c>
      <c r="J304" s="2">
        <v>3728.46</v>
      </c>
      <c r="K304" s="4" t="s">
        <v>53</v>
      </c>
      <c r="L304" s="4" t="s">
        <v>79</v>
      </c>
      <c r="M304" s="4" t="s">
        <v>61</v>
      </c>
      <c r="N304" s="4" t="s">
        <v>56</v>
      </c>
      <c r="O304" s="4" t="s">
        <v>25</v>
      </c>
      <c r="P304" s="6">
        <f>IF(Table3[[#This Row],[Payment Status]]="Overdue",1,0)</f>
        <v>0</v>
      </c>
      <c r="Q304" s="11"/>
      <c r="R304" s="4" t="s">
        <v>941</v>
      </c>
      <c r="S304" s="4" t="s">
        <v>29</v>
      </c>
    </row>
    <row r="305" spans="1:19" x14ac:dyDescent="0.3">
      <c r="A305" s="4" t="s">
        <v>702</v>
      </c>
      <c r="B305" s="4" t="s">
        <v>22</v>
      </c>
      <c r="C305" s="26" t="s">
        <v>703</v>
      </c>
      <c r="D305" s="14">
        <v>45373</v>
      </c>
      <c r="E305" s="22"/>
      <c r="F305" s="18" t="str">
        <f t="shared" si="4"/>
        <v>Mar-2024</v>
      </c>
      <c r="G305" s="2">
        <v>70554.25</v>
      </c>
      <c r="H305" s="26" t="s">
        <v>72</v>
      </c>
      <c r="I305" s="32">
        <v>18</v>
      </c>
      <c r="J305" s="2">
        <v>12699.76</v>
      </c>
      <c r="K305" s="4" t="s">
        <v>97</v>
      </c>
      <c r="L305" s="4" t="s">
        <v>60</v>
      </c>
      <c r="M305" s="4" t="s">
        <v>19</v>
      </c>
      <c r="N305" s="4" t="s">
        <v>91</v>
      </c>
      <c r="O305" s="4" t="s">
        <v>939</v>
      </c>
      <c r="P305" s="6">
        <f>IF(Table3[[#This Row],[Payment Status]]="Overdue",1,0)</f>
        <v>0</v>
      </c>
      <c r="R305" s="4" t="s">
        <v>36</v>
      </c>
      <c r="S305" s="4" t="s">
        <v>88</v>
      </c>
    </row>
    <row r="306" spans="1:19" x14ac:dyDescent="0.3">
      <c r="A306" s="4" t="s">
        <v>341</v>
      </c>
      <c r="B306" s="4" t="s">
        <v>50</v>
      </c>
      <c r="C306" s="26" t="s">
        <v>342</v>
      </c>
      <c r="D306" s="14">
        <v>45472</v>
      </c>
      <c r="E306" s="14">
        <v>45836</v>
      </c>
      <c r="F306" s="17" t="str">
        <f t="shared" si="4"/>
        <v>Jun-2024</v>
      </c>
      <c r="G306" s="2">
        <v>16952.04</v>
      </c>
      <c r="H306" s="26" t="s">
        <v>72</v>
      </c>
      <c r="I306" s="32">
        <v>18</v>
      </c>
      <c r="J306" s="2">
        <v>3051.37</v>
      </c>
      <c r="K306" s="4" t="s">
        <v>143</v>
      </c>
      <c r="L306" s="4" t="s">
        <v>79</v>
      </c>
      <c r="M306" s="4" t="s">
        <v>39</v>
      </c>
      <c r="N306" s="4" t="s">
        <v>80</v>
      </c>
      <c r="O306" s="6" t="s">
        <v>126</v>
      </c>
      <c r="P306" s="6">
        <f>IF(Table3[[#This Row],[Payment Status]]="Overdue",1,0)</f>
        <v>0</v>
      </c>
      <c r="Q306" s="10">
        <v>45487</v>
      </c>
      <c r="R306" s="4" t="s">
        <v>40</v>
      </c>
      <c r="S306" s="4" t="s">
        <v>63</v>
      </c>
    </row>
    <row r="307" spans="1:19" x14ac:dyDescent="0.3">
      <c r="A307" s="4" t="s">
        <v>411</v>
      </c>
      <c r="B307" s="4" t="s">
        <v>155</v>
      </c>
      <c r="C307" s="26" t="s">
        <v>412</v>
      </c>
      <c r="D307" s="14">
        <v>45564</v>
      </c>
      <c r="E307" s="14">
        <v>45774</v>
      </c>
      <c r="F307" s="17" t="str">
        <f t="shared" si="4"/>
        <v>Sep-2024</v>
      </c>
      <c r="G307" s="2">
        <v>56602.6</v>
      </c>
      <c r="H307" s="26" t="s">
        <v>72</v>
      </c>
      <c r="I307" s="32">
        <v>18</v>
      </c>
      <c r="J307" s="2">
        <v>10188.469999999999</v>
      </c>
      <c r="K307" s="4" t="s">
        <v>73</v>
      </c>
      <c r="L307" s="4" t="s">
        <v>66</v>
      </c>
      <c r="M307" s="4" t="s">
        <v>61</v>
      </c>
      <c r="N307" s="4" t="s">
        <v>100</v>
      </c>
      <c r="O307" s="4" t="s">
        <v>92</v>
      </c>
      <c r="P307" s="6">
        <f>IF(Table3[[#This Row],[Payment Status]]="Overdue",1,0)</f>
        <v>1</v>
      </c>
      <c r="Q307" s="11"/>
      <c r="R307" s="4" t="s">
        <v>62</v>
      </c>
      <c r="S307" s="4" t="s">
        <v>41</v>
      </c>
    </row>
    <row r="308" spans="1:19" x14ac:dyDescent="0.3">
      <c r="A308" s="4" t="s">
        <v>912</v>
      </c>
      <c r="B308" s="4" t="s">
        <v>206</v>
      </c>
      <c r="C308" s="26" t="s">
        <v>913</v>
      </c>
      <c r="D308" s="14">
        <v>45394</v>
      </c>
      <c r="E308" s="14">
        <v>45780</v>
      </c>
      <c r="F308" s="17" t="str">
        <f t="shared" si="4"/>
        <v>Apr-2024</v>
      </c>
      <c r="G308" s="2">
        <v>38919.599999999999</v>
      </c>
      <c r="H308" s="30" t="s">
        <v>941</v>
      </c>
      <c r="I308" s="32">
        <v>5</v>
      </c>
      <c r="J308" s="2">
        <v>1945.98</v>
      </c>
      <c r="K308" s="4" t="s">
        <v>143</v>
      </c>
      <c r="L308" s="4" t="s">
        <v>940</v>
      </c>
      <c r="M308" s="4" t="s">
        <v>61</v>
      </c>
      <c r="N308" s="4" t="s">
        <v>117</v>
      </c>
      <c r="O308" s="6" t="s">
        <v>941</v>
      </c>
      <c r="P308" s="6">
        <f>IF(Table3[[#This Row],[Payment Status]]="Overdue",1,0)</f>
        <v>0</v>
      </c>
      <c r="Q308" s="11"/>
      <c r="R308" s="4" t="s">
        <v>941</v>
      </c>
      <c r="S308" s="4" t="s">
        <v>85</v>
      </c>
    </row>
    <row r="309" spans="1:19" x14ac:dyDescent="0.3">
      <c r="A309" s="4" t="s">
        <v>287</v>
      </c>
      <c r="B309" s="4" t="s">
        <v>197</v>
      </c>
      <c r="C309" s="26" t="s">
        <v>288</v>
      </c>
      <c r="D309" s="14">
        <v>45376</v>
      </c>
      <c r="E309" s="22"/>
      <c r="F309" s="18" t="str">
        <f t="shared" si="4"/>
        <v>Mar-2024</v>
      </c>
      <c r="G309" s="2">
        <v>51633.84</v>
      </c>
      <c r="H309" s="26" t="s">
        <v>18</v>
      </c>
      <c r="I309" s="32">
        <v>0</v>
      </c>
      <c r="J309" s="2">
        <v>0</v>
      </c>
      <c r="K309" s="4" t="s">
        <v>97</v>
      </c>
      <c r="L309" s="4" t="s">
        <v>34</v>
      </c>
      <c r="M309" s="4" t="s">
        <v>61</v>
      </c>
      <c r="N309" s="5" t="s">
        <v>942</v>
      </c>
      <c r="O309" s="4" t="s">
        <v>939</v>
      </c>
      <c r="P309" s="6">
        <f>IF(Table3[[#This Row],[Payment Status]]="Overdue",1,0)</f>
        <v>0</v>
      </c>
      <c r="Q309" s="11"/>
      <c r="R309" s="4" t="s">
        <v>28</v>
      </c>
      <c r="S309" s="5" t="s">
        <v>941</v>
      </c>
    </row>
    <row r="310" spans="1:19" x14ac:dyDescent="0.3">
      <c r="A310" s="4" t="s">
        <v>136</v>
      </c>
      <c r="B310" s="4" t="s">
        <v>137</v>
      </c>
      <c r="C310" s="26" t="s">
        <v>138</v>
      </c>
      <c r="D310" s="14">
        <v>45541</v>
      </c>
      <c r="E310" s="14">
        <v>45770</v>
      </c>
      <c r="F310" s="17" t="str">
        <f t="shared" si="4"/>
        <v>Sep-2024</v>
      </c>
      <c r="G310" s="2">
        <v>81186.100000000006</v>
      </c>
      <c r="H310" s="26" t="s">
        <v>72</v>
      </c>
      <c r="I310" s="32">
        <v>5</v>
      </c>
      <c r="J310" s="2">
        <v>4059.3</v>
      </c>
      <c r="K310" s="4" t="s">
        <v>106</v>
      </c>
      <c r="L310" s="4" t="s">
        <v>70</v>
      </c>
      <c r="M310" s="4" t="s">
        <v>55</v>
      </c>
      <c r="N310" s="4" t="s">
        <v>35</v>
      </c>
      <c r="O310" s="4" t="s">
        <v>939</v>
      </c>
      <c r="P310" s="6">
        <f>IF(Table3[[#This Row],[Payment Status]]="Overdue",1,0)</f>
        <v>0</v>
      </c>
      <c r="Q310" s="11"/>
      <c r="R310" s="4" t="s">
        <v>36</v>
      </c>
      <c r="S310" s="4" t="s">
        <v>67</v>
      </c>
    </row>
    <row r="311" spans="1:19" x14ac:dyDescent="0.3">
      <c r="A311" s="4" t="s">
        <v>316</v>
      </c>
      <c r="B311" s="4" t="s">
        <v>47</v>
      </c>
      <c r="C311" s="26" t="s">
        <v>317</v>
      </c>
      <c r="D311" s="14">
        <v>45476</v>
      </c>
      <c r="E311" s="14">
        <v>45521</v>
      </c>
      <c r="F311" s="17" t="str">
        <f t="shared" si="4"/>
        <v>Jul-2024</v>
      </c>
      <c r="G311" s="2">
        <v>5637</v>
      </c>
      <c r="H311" s="26" t="s">
        <v>18</v>
      </c>
      <c r="I311" s="32">
        <v>18</v>
      </c>
      <c r="J311" s="2">
        <v>1014.66</v>
      </c>
      <c r="K311" s="4" t="s">
        <v>143</v>
      </c>
      <c r="L311" s="4" t="s">
        <v>98</v>
      </c>
      <c r="M311" s="4" t="s">
        <v>19</v>
      </c>
      <c r="N311" s="4" t="s">
        <v>80</v>
      </c>
      <c r="O311" s="4" t="s">
        <v>939</v>
      </c>
      <c r="P311" s="6">
        <f>IF(Table3[[#This Row],[Payment Status]]="Overdue",1,0)</f>
        <v>0</v>
      </c>
      <c r="Q311" s="11"/>
      <c r="R311" s="4" t="s">
        <v>20</v>
      </c>
      <c r="S311" s="4" t="s">
        <v>63</v>
      </c>
    </row>
    <row r="312" spans="1:19" x14ac:dyDescent="0.3">
      <c r="A312" s="4" t="s">
        <v>331</v>
      </c>
      <c r="B312" s="4" t="s">
        <v>190</v>
      </c>
      <c r="C312" s="26" t="s">
        <v>332</v>
      </c>
      <c r="D312" s="14">
        <v>45293</v>
      </c>
      <c r="E312" s="14">
        <v>45408</v>
      </c>
      <c r="F312" s="17" t="str">
        <f t="shared" si="4"/>
        <v>Jan-2024</v>
      </c>
      <c r="G312" s="2">
        <v>45595.92</v>
      </c>
      <c r="H312" s="26" t="s">
        <v>52</v>
      </c>
      <c r="I312" s="32">
        <v>12</v>
      </c>
      <c r="J312" s="2">
        <v>5471.51</v>
      </c>
      <c r="K312" s="4" t="s">
        <v>33</v>
      </c>
      <c r="L312" s="4" t="s">
        <v>98</v>
      </c>
      <c r="M312" s="4" t="s">
        <v>55</v>
      </c>
      <c r="N312" s="4" t="s">
        <v>117</v>
      </c>
      <c r="O312" s="4" t="s">
        <v>126</v>
      </c>
      <c r="P312" s="6">
        <f>IF(Table3[[#This Row],[Payment Status]]="Overdue",1,0)</f>
        <v>0</v>
      </c>
      <c r="Q312" s="10">
        <v>45335</v>
      </c>
      <c r="R312" s="4" t="s">
        <v>57</v>
      </c>
      <c r="S312" s="4" t="s">
        <v>41</v>
      </c>
    </row>
    <row r="313" spans="1:19" x14ac:dyDescent="0.3">
      <c r="A313" s="4" t="s">
        <v>68</v>
      </c>
      <c r="B313" s="4" t="s">
        <v>197</v>
      </c>
      <c r="C313" s="26" t="s">
        <v>69</v>
      </c>
      <c r="D313" s="14">
        <v>45619</v>
      </c>
      <c r="F313" s="17" t="str">
        <f t="shared" si="4"/>
        <v>Nov-2024</v>
      </c>
      <c r="G313" s="2">
        <v>23352.45</v>
      </c>
      <c r="H313" s="26" t="s">
        <v>18</v>
      </c>
      <c r="I313" s="32">
        <v>18</v>
      </c>
      <c r="J313" s="2">
        <v>4203.4399999999996</v>
      </c>
      <c r="K313" s="4" t="s">
        <v>230</v>
      </c>
      <c r="L313" s="4" t="s">
        <v>70</v>
      </c>
      <c r="M313" s="4" t="s">
        <v>25</v>
      </c>
      <c r="N313" s="4" t="s">
        <v>56</v>
      </c>
      <c r="O313" s="4" t="s">
        <v>27</v>
      </c>
      <c r="P313" s="6">
        <f>IF(Table3[[#This Row],[Payment Status]]="Overdue",1,0)</f>
        <v>0</v>
      </c>
      <c r="Q313" s="11"/>
      <c r="R313" s="4" t="s">
        <v>20</v>
      </c>
      <c r="S313" s="4" t="s">
        <v>67</v>
      </c>
    </row>
    <row r="314" spans="1:19" x14ac:dyDescent="0.3">
      <c r="A314" s="4" t="s">
        <v>552</v>
      </c>
      <c r="B314" s="4" t="s">
        <v>50</v>
      </c>
      <c r="C314" s="26" t="s">
        <v>553</v>
      </c>
      <c r="D314" s="14">
        <v>45776</v>
      </c>
      <c r="F314" s="17" t="str">
        <f t="shared" si="4"/>
        <v>Apr-2025</v>
      </c>
      <c r="G314" s="2">
        <v>33331.699999999997</v>
      </c>
      <c r="H314" s="30" t="s">
        <v>941</v>
      </c>
      <c r="I314" s="32">
        <v>18</v>
      </c>
      <c r="J314" s="2">
        <v>5999.71</v>
      </c>
      <c r="K314" s="4" t="s">
        <v>106</v>
      </c>
      <c r="L314" s="4" t="s">
        <v>79</v>
      </c>
      <c r="M314" s="4" t="s">
        <v>941</v>
      </c>
      <c r="N314" s="4" t="s">
        <v>56</v>
      </c>
      <c r="O314" s="4" t="s">
        <v>126</v>
      </c>
      <c r="P314" s="6">
        <f>IF(Table3[[#This Row],[Payment Status]]="Overdue",1,0)</f>
        <v>0</v>
      </c>
      <c r="Q314" s="10">
        <v>45818</v>
      </c>
      <c r="R314" s="4" t="s">
        <v>40</v>
      </c>
      <c r="S314" s="4" t="s">
        <v>67</v>
      </c>
    </row>
    <row r="315" spans="1:19" x14ac:dyDescent="0.3">
      <c r="A315" s="4" t="s">
        <v>854</v>
      </c>
      <c r="B315" s="4" t="s">
        <v>923</v>
      </c>
      <c r="C315" s="26" t="s">
        <v>855</v>
      </c>
      <c r="D315" s="14">
        <v>45443</v>
      </c>
      <c r="E315" s="14">
        <v>45887</v>
      </c>
      <c r="F315" s="17" t="str">
        <f t="shared" si="4"/>
        <v>May-2024</v>
      </c>
      <c r="G315" s="2">
        <v>57800.93</v>
      </c>
      <c r="H315" s="26" t="s">
        <v>72</v>
      </c>
      <c r="I315" s="32">
        <v>18</v>
      </c>
      <c r="J315" s="2">
        <v>10404.17</v>
      </c>
      <c r="K315" s="4" t="s">
        <v>165</v>
      </c>
      <c r="L315" s="4" t="s">
        <v>70</v>
      </c>
      <c r="M315" s="4" t="s">
        <v>25</v>
      </c>
      <c r="N315" s="4" t="s">
        <v>26</v>
      </c>
      <c r="O315" s="4" t="s">
        <v>126</v>
      </c>
      <c r="P315" s="6">
        <f>IF(Table3[[#This Row],[Payment Status]]="Overdue",1,0)</f>
        <v>0</v>
      </c>
      <c r="Q315" s="10">
        <v>45470</v>
      </c>
      <c r="R315" s="4" t="s">
        <v>20</v>
      </c>
      <c r="S315" s="4" t="s">
        <v>41</v>
      </c>
    </row>
    <row r="316" spans="1:19" x14ac:dyDescent="0.3">
      <c r="A316" s="4" t="s">
        <v>139</v>
      </c>
      <c r="B316" s="4" t="s">
        <v>190</v>
      </c>
      <c r="C316" s="27"/>
      <c r="D316" s="14">
        <v>45747</v>
      </c>
      <c r="E316" s="14">
        <v>45800</v>
      </c>
      <c r="F316" s="17" t="str">
        <f t="shared" si="4"/>
        <v>Mar-2025</v>
      </c>
      <c r="G316" s="2">
        <v>10045.85</v>
      </c>
      <c r="H316" s="26" t="s">
        <v>52</v>
      </c>
      <c r="I316" s="32">
        <v>18</v>
      </c>
      <c r="J316" s="2">
        <v>1808.25</v>
      </c>
      <c r="K316" s="4" t="s">
        <v>97</v>
      </c>
      <c r="L316" s="4" t="s">
        <v>45</v>
      </c>
      <c r="M316" s="4" t="s">
        <v>55</v>
      </c>
      <c r="N316" s="4" t="s">
        <v>91</v>
      </c>
      <c r="O316" s="4" t="s">
        <v>111</v>
      </c>
      <c r="P316" s="6">
        <f>IF(Table3[[#This Row],[Payment Status]]="Overdue",1,0)</f>
        <v>0</v>
      </c>
      <c r="Q316" s="11"/>
      <c r="R316" s="4" t="s">
        <v>941</v>
      </c>
      <c r="S316" s="4" t="s">
        <v>88</v>
      </c>
    </row>
    <row r="317" spans="1:19" x14ac:dyDescent="0.3">
      <c r="A317" s="4" t="s">
        <v>440</v>
      </c>
      <c r="B317" s="4" t="s">
        <v>137</v>
      </c>
      <c r="C317" s="26" t="s">
        <v>441</v>
      </c>
      <c r="D317" s="14">
        <v>45723</v>
      </c>
      <c r="E317" s="14">
        <v>45943</v>
      </c>
      <c r="F317" s="17" t="str">
        <f t="shared" si="4"/>
        <v>Mar-2025</v>
      </c>
      <c r="G317" s="2">
        <v>41604.589999999997</v>
      </c>
      <c r="H317" s="26" t="s">
        <v>52</v>
      </c>
      <c r="I317" s="32">
        <v>18</v>
      </c>
      <c r="J317" s="2">
        <v>7488.83</v>
      </c>
      <c r="K317" s="4" t="s">
        <v>53</v>
      </c>
      <c r="L317" s="4" t="s">
        <v>45</v>
      </c>
      <c r="M317" s="4" t="s">
        <v>19</v>
      </c>
      <c r="N317" s="4" t="s">
        <v>100</v>
      </c>
      <c r="O317" s="4" t="s">
        <v>111</v>
      </c>
      <c r="P317" s="6">
        <f>IF(Table3[[#This Row],[Payment Status]]="Overdue",1,0)</f>
        <v>0</v>
      </c>
      <c r="R317" s="4" t="s">
        <v>184</v>
      </c>
      <c r="S317" s="4" t="s">
        <v>63</v>
      </c>
    </row>
    <row r="318" spans="1:19" x14ac:dyDescent="0.3">
      <c r="A318" s="4" t="s">
        <v>562</v>
      </c>
      <c r="B318" s="4" t="s">
        <v>206</v>
      </c>
      <c r="C318" s="26" t="s">
        <v>563</v>
      </c>
      <c r="D318" s="14">
        <v>45467</v>
      </c>
      <c r="E318" s="14">
        <v>45688</v>
      </c>
      <c r="F318" s="17" t="str">
        <f t="shared" si="4"/>
        <v>Jun-2024</v>
      </c>
      <c r="G318" s="2">
        <v>21221.4</v>
      </c>
      <c r="H318" s="26" t="s">
        <v>18</v>
      </c>
      <c r="I318" s="32">
        <v>28</v>
      </c>
      <c r="J318" s="2">
        <v>5941.99</v>
      </c>
      <c r="K318" s="4" t="s">
        <v>44</v>
      </c>
      <c r="L318" s="4" t="s">
        <v>940</v>
      </c>
      <c r="M318" s="4" t="s">
        <v>19</v>
      </c>
      <c r="N318" s="4" t="s">
        <v>26</v>
      </c>
      <c r="O318" s="6" t="s">
        <v>941</v>
      </c>
      <c r="P318" s="6">
        <f>IF(Table3[[#This Row],[Payment Status]]="Overdue",1,0)</f>
        <v>0</v>
      </c>
      <c r="Q318" s="11"/>
      <c r="R318" s="4" t="s">
        <v>20</v>
      </c>
      <c r="S318" s="4" t="s">
        <v>29</v>
      </c>
    </row>
    <row r="319" spans="1:19" x14ac:dyDescent="0.3">
      <c r="A319" s="4" t="s">
        <v>256</v>
      </c>
      <c r="B319" s="4" t="s">
        <v>141</v>
      </c>
      <c r="C319" s="26" t="s">
        <v>257</v>
      </c>
      <c r="D319" s="14">
        <v>45929</v>
      </c>
      <c r="E319" s="14">
        <v>45957</v>
      </c>
      <c r="F319" s="17" t="str">
        <f t="shared" si="4"/>
        <v>Sep-2025</v>
      </c>
      <c r="G319" s="2">
        <v>21783.98</v>
      </c>
      <c r="H319" s="26" t="s">
        <v>52</v>
      </c>
      <c r="I319" s="32">
        <v>18</v>
      </c>
      <c r="J319" s="2">
        <v>3921.12</v>
      </c>
      <c r="K319" s="4" t="s">
        <v>44</v>
      </c>
      <c r="L319" s="4" t="s">
        <v>98</v>
      </c>
      <c r="M319" s="4" t="s">
        <v>941</v>
      </c>
      <c r="N319" s="5" t="s">
        <v>942</v>
      </c>
      <c r="O319" s="4" t="s">
        <v>27</v>
      </c>
      <c r="P319" s="6">
        <f>IF(Table3[[#This Row],[Payment Status]]="Overdue",1,0)</f>
        <v>0</v>
      </c>
      <c r="Q319" s="11"/>
      <c r="R319" s="4" t="s">
        <v>62</v>
      </c>
      <c r="S319" s="4" t="s">
        <v>63</v>
      </c>
    </row>
    <row r="320" spans="1:19" x14ac:dyDescent="0.3">
      <c r="A320" s="4" t="s">
        <v>355</v>
      </c>
      <c r="B320" s="4" t="s">
        <v>47</v>
      </c>
      <c r="C320" s="26" t="s">
        <v>356</v>
      </c>
      <c r="D320" s="14">
        <v>45736</v>
      </c>
      <c r="E320" s="14">
        <v>45772</v>
      </c>
      <c r="F320" s="17" t="str">
        <f t="shared" si="4"/>
        <v>Mar-2025</v>
      </c>
      <c r="G320" s="2">
        <v>21150.18</v>
      </c>
      <c r="H320" s="26" t="s">
        <v>18</v>
      </c>
      <c r="I320" s="32">
        <v>18</v>
      </c>
      <c r="J320" s="2">
        <v>3807.03</v>
      </c>
      <c r="K320" s="4" t="s">
        <v>66</v>
      </c>
      <c r="L320" s="4" t="s">
        <v>70</v>
      </c>
      <c r="M320" s="4" t="s">
        <v>25</v>
      </c>
      <c r="N320" s="4" t="s">
        <v>91</v>
      </c>
      <c r="O320" s="4" t="s">
        <v>126</v>
      </c>
      <c r="P320" s="6">
        <f>IF(Table3[[#This Row],[Payment Status]]="Overdue",1,0)</f>
        <v>0</v>
      </c>
      <c r="Q320" s="10">
        <v>45754</v>
      </c>
      <c r="R320" s="4" t="s">
        <v>20</v>
      </c>
      <c r="S320" s="4" t="s">
        <v>63</v>
      </c>
    </row>
    <row r="321" spans="1:19" x14ac:dyDescent="0.3">
      <c r="A321" s="4" t="s">
        <v>42</v>
      </c>
      <c r="B321" s="4" t="s">
        <v>102</v>
      </c>
      <c r="C321" s="26" t="s">
        <v>43</v>
      </c>
      <c r="D321" s="14">
        <v>45877</v>
      </c>
      <c r="F321" s="17" t="str">
        <f t="shared" si="4"/>
        <v>Aug-2025</v>
      </c>
      <c r="G321" s="2">
        <v>23148.93</v>
      </c>
      <c r="H321" s="26" t="s">
        <v>72</v>
      </c>
      <c r="I321" s="32">
        <v>28</v>
      </c>
      <c r="J321" s="2">
        <v>6481.7</v>
      </c>
      <c r="K321" s="4" t="s">
        <v>44</v>
      </c>
      <c r="L321" s="4" t="s">
        <v>45</v>
      </c>
      <c r="M321" s="4" t="s">
        <v>39</v>
      </c>
      <c r="N321" s="4" t="s">
        <v>35</v>
      </c>
      <c r="O321" s="4" t="s">
        <v>25</v>
      </c>
      <c r="P321" s="6">
        <f>IF(Table3[[#This Row],[Payment Status]]="Overdue",1,0)</f>
        <v>0</v>
      </c>
      <c r="Q321" s="11"/>
      <c r="R321" s="4" t="s">
        <v>28</v>
      </c>
      <c r="S321" s="4" t="s">
        <v>29</v>
      </c>
    </row>
    <row r="322" spans="1:19" x14ac:dyDescent="0.3">
      <c r="A322" s="4" t="s">
        <v>399</v>
      </c>
      <c r="B322" s="4" t="s">
        <v>206</v>
      </c>
      <c r="C322" s="26" t="s">
        <v>400</v>
      </c>
      <c r="D322" s="14">
        <v>45547</v>
      </c>
      <c r="F322" s="17" t="str">
        <f t="shared" ref="F322:F385" si="5">TEXT(D322,"mmm-yyyy")</f>
        <v>Sep-2024</v>
      </c>
      <c r="G322" s="2">
        <v>60120.86</v>
      </c>
      <c r="H322" s="26" t="s">
        <v>52</v>
      </c>
      <c r="I322" s="32">
        <v>28</v>
      </c>
      <c r="J322" s="2">
        <v>16833.84</v>
      </c>
      <c r="K322" s="4" t="s">
        <v>143</v>
      </c>
      <c r="L322" s="4" t="s">
        <v>79</v>
      </c>
      <c r="M322" s="4" t="s">
        <v>25</v>
      </c>
      <c r="N322" s="4" t="s">
        <v>80</v>
      </c>
      <c r="O322" s="4" t="s">
        <v>92</v>
      </c>
      <c r="P322" s="6">
        <f>IF(Table3[[#This Row],[Payment Status]]="Overdue",1,0)</f>
        <v>1</v>
      </c>
      <c r="R322" s="4" t="s">
        <v>62</v>
      </c>
      <c r="S322" s="4" t="s">
        <v>63</v>
      </c>
    </row>
    <row r="323" spans="1:19" x14ac:dyDescent="0.3">
      <c r="A323" s="4" t="s">
        <v>649</v>
      </c>
      <c r="B323" s="4" t="s">
        <v>50</v>
      </c>
      <c r="C323" s="26" t="s">
        <v>650</v>
      </c>
      <c r="D323" s="14">
        <v>45812</v>
      </c>
      <c r="F323" s="17" t="str">
        <f t="shared" si="5"/>
        <v>Jun-2025</v>
      </c>
      <c r="G323" s="2">
        <v>40848.81</v>
      </c>
      <c r="H323" s="26" t="s">
        <v>72</v>
      </c>
      <c r="I323" s="32">
        <v>18</v>
      </c>
      <c r="J323" s="2">
        <v>7352.79</v>
      </c>
      <c r="K323" s="4" t="s">
        <v>165</v>
      </c>
      <c r="L323" s="4" t="s">
        <v>54</v>
      </c>
      <c r="M323" s="4" t="s">
        <v>25</v>
      </c>
      <c r="N323" s="5" t="s">
        <v>942</v>
      </c>
      <c r="O323" s="4" t="s">
        <v>27</v>
      </c>
      <c r="P323" s="6">
        <f>IF(Table3[[#This Row],[Payment Status]]="Overdue",1,0)</f>
        <v>0</v>
      </c>
      <c r="R323" s="4" t="s">
        <v>941</v>
      </c>
      <c r="S323" s="5" t="s">
        <v>941</v>
      </c>
    </row>
    <row r="324" spans="1:19" x14ac:dyDescent="0.3">
      <c r="A324" s="4" t="s">
        <v>480</v>
      </c>
      <c r="B324" s="4" t="s">
        <v>206</v>
      </c>
      <c r="C324" s="26" t="s">
        <v>481</v>
      </c>
      <c r="D324" s="14">
        <v>45724</v>
      </c>
      <c r="E324" s="14">
        <v>45879</v>
      </c>
      <c r="F324" s="17" t="str">
        <f t="shared" si="5"/>
        <v>Mar-2025</v>
      </c>
      <c r="G324" s="2">
        <v>31823.119999999999</v>
      </c>
      <c r="H324" s="26" t="s">
        <v>52</v>
      </c>
      <c r="I324" s="32">
        <v>5</v>
      </c>
      <c r="J324" s="2">
        <v>1591.16</v>
      </c>
      <c r="K324" s="5" t="s">
        <v>66</v>
      </c>
      <c r="L324" s="4" t="s">
        <v>98</v>
      </c>
      <c r="M324" s="4" t="s">
        <v>941</v>
      </c>
      <c r="N324" s="4" t="s">
        <v>26</v>
      </c>
      <c r="O324" s="4" t="s">
        <v>25</v>
      </c>
      <c r="P324" s="6">
        <f>IF(Table3[[#This Row],[Payment Status]]="Overdue",1,0)</f>
        <v>0</v>
      </c>
      <c r="Q324" s="11"/>
      <c r="R324" s="4" t="s">
        <v>184</v>
      </c>
      <c r="S324" s="4" t="s">
        <v>88</v>
      </c>
    </row>
    <row r="325" spans="1:19" x14ac:dyDescent="0.3">
      <c r="A325" s="4" t="s">
        <v>470</v>
      </c>
      <c r="B325" s="4" t="s">
        <v>197</v>
      </c>
      <c r="C325" s="27"/>
      <c r="D325" s="14">
        <v>45298</v>
      </c>
      <c r="E325" s="14">
        <v>45709</v>
      </c>
      <c r="F325" s="17" t="str">
        <f t="shared" si="5"/>
        <v>Jan-2024</v>
      </c>
      <c r="G325" s="2">
        <v>25465.05</v>
      </c>
      <c r="H325" s="26" t="s">
        <v>52</v>
      </c>
      <c r="I325" s="32">
        <v>18</v>
      </c>
      <c r="J325" s="2">
        <v>4583.71</v>
      </c>
      <c r="K325" s="4" t="s">
        <v>53</v>
      </c>
      <c r="L325" s="4" t="s">
        <v>34</v>
      </c>
      <c r="M325" s="4" t="s">
        <v>39</v>
      </c>
      <c r="N325" s="5" t="s">
        <v>942</v>
      </c>
      <c r="O325" s="4" t="s">
        <v>126</v>
      </c>
      <c r="P325" s="6">
        <f>IF(Table3[[#This Row],[Payment Status]]="Overdue",1,0)</f>
        <v>0</v>
      </c>
      <c r="Q325" s="10">
        <v>45353</v>
      </c>
      <c r="R325" s="4" t="s">
        <v>28</v>
      </c>
      <c r="S325" s="4" t="s">
        <v>88</v>
      </c>
    </row>
    <row r="326" spans="1:19" x14ac:dyDescent="0.3">
      <c r="A326" s="4" t="s">
        <v>64</v>
      </c>
      <c r="B326" s="4" t="s">
        <v>630</v>
      </c>
      <c r="C326" s="26" t="s">
        <v>65</v>
      </c>
      <c r="D326" s="14">
        <v>45654</v>
      </c>
      <c r="F326" s="17" t="str">
        <f t="shared" si="5"/>
        <v>Dec-2024</v>
      </c>
      <c r="G326" s="2">
        <v>30631.24</v>
      </c>
      <c r="H326" s="26" t="s">
        <v>18</v>
      </c>
      <c r="I326" s="32">
        <v>12</v>
      </c>
      <c r="J326" s="2">
        <v>3675.75</v>
      </c>
      <c r="K326" s="4" t="s">
        <v>143</v>
      </c>
      <c r="L326" s="4" t="s">
        <v>66</v>
      </c>
      <c r="M326" s="4" t="s">
        <v>19</v>
      </c>
      <c r="N326" s="5" t="s">
        <v>942</v>
      </c>
      <c r="O326" s="4" t="s">
        <v>92</v>
      </c>
      <c r="P326" s="6">
        <f>IF(Table3[[#This Row],[Payment Status]]="Overdue",1,0)</f>
        <v>1</v>
      </c>
      <c r="Q326" s="11"/>
      <c r="R326" s="4" t="s">
        <v>184</v>
      </c>
      <c r="S326" s="4" t="s">
        <v>67</v>
      </c>
    </row>
    <row r="327" spans="1:19" x14ac:dyDescent="0.3">
      <c r="A327" s="4" t="s">
        <v>881</v>
      </c>
      <c r="B327" s="4" t="s">
        <v>190</v>
      </c>
      <c r="C327" s="26" t="s">
        <v>882</v>
      </c>
      <c r="D327" s="14">
        <v>45404</v>
      </c>
      <c r="E327" s="14">
        <v>45406</v>
      </c>
      <c r="F327" s="17" t="str">
        <f t="shared" si="5"/>
        <v>Apr-2024</v>
      </c>
      <c r="G327" s="2">
        <v>10851.59</v>
      </c>
      <c r="H327" s="26" t="s">
        <v>18</v>
      </c>
      <c r="I327" s="32">
        <v>0</v>
      </c>
      <c r="J327" s="2">
        <v>0</v>
      </c>
      <c r="K327" s="4" t="s">
        <v>73</v>
      </c>
      <c r="L327" s="4" t="s">
        <v>79</v>
      </c>
      <c r="M327" s="4" t="s">
        <v>39</v>
      </c>
      <c r="N327" s="4" t="s">
        <v>26</v>
      </c>
      <c r="O327" s="4" t="s">
        <v>126</v>
      </c>
      <c r="P327" s="6">
        <f>IF(Table3[[#This Row],[Payment Status]]="Overdue",1,0)</f>
        <v>0</v>
      </c>
      <c r="Q327" s="10">
        <v>45474</v>
      </c>
      <c r="R327" s="4" t="s">
        <v>184</v>
      </c>
      <c r="S327" s="5" t="s">
        <v>941</v>
      </c>
    </row>
    <row r="328" spans="1:19" x14ac:dyDescent="0.3">
      <c r="A328" s="4" t="s">
        <v>910</v>
      </c>
      <c r="B328" s="4" t="s">
        <v>121</v>
      </c>
      <c r="C328" s="26" t="s">
        <v>911</v>
      </c>
      <c r="D328" s="14">
        <v>45397</v>
      </c>
      <c r="E328" s="14">
        <v>45551</v>
      </c>
      <c r="F328" s="17" t="str">
        <f t="shared" si="5"/>
        <v>Apr-2024</v>
      </c>
      <c r="G328" s="2">
        <v>52001.87</v>
      </c>
      <c r="H328" s="26" t="s">
        <v>72</v>
      </c>
      <c r="I328" s="32">
        <v>18</v>
      </c>
      <c r="J328" s="2">
        <v>9360.34</v>
      </c>
      <c r="K328" s="4" t="s">
        <v>143</v>
      </c>
      <c r="L328" s="4" t="s">
        <v>70</v>
      </c>
      <c r="M328" s="4" t="s">
        <v>19</v>
      </c>
      <c r="N328" s="4" t="s">
        <v>80</v>
      </c>
      <c r="O328" s="4" t="s">
        <v>25</v>
      </c>
      <c r="P328" s="6">
        <f>IF(Table3[[#This Row],[Payment Status]]="Overdue",1,0)</f>
        <v>0</v>
      </c>
      <c r="Q328" s="11"/>
      <c r="R328" s="4" t="s">
        <v>36</v>
      </c>
      <c r="S328" s="4" t="s">
        <v>29</v>
      </c>
    </row>
    <row r="329" spans="1:19" x14ac:dyDescent="0.3">
      <c r="A329" s="4" t="s">
        <v>824</v>
      </c>
      <c r="B329" s="4" t="s">
        <v>163</v>
      </c>
      <c r="C329" s="26" t="s">
        <v>825</v>
      </c>
      <c r="D329" s="14">
        <v>45911</v>
      </c>
      <c r="F329" s="17" t="str">
        <f t="shared" si="5"/>
        <v>Sep-2025</v>
      </c>
      <c r="G329" s="2">
        <v>17971.330000000002</v>
      </c>
      <c r="H329" s="30" t="s">
        <v>941</v>
      </c>
      <c r="I329" s="32">
        <v>5</v>
      </c>
      <c r="J329" s="2">
        <v>898.57</v>
      </c>
      <c r="K329" s="4" t="s">
        <v>143</v>
      </c>
      <c r="L329" s="4" t="s">
        <v>98</v>
      </c>
      <c r="M329" s="4" t="s">
        <v>19</v>
      </c>
      <c r="N329" s="5" t="s">
        <v>942</v>
      </c>
      <c r="O329" s="4" t="s">
        <v>126</v>
      </c>
      <c r="P329" s="6">
        <f>IF(Table3[[#This Row],[Payment Status]]="Overdue",1,0)</f>
        <v>0</v>
      </c>
      <c r="Q329" s="10">
        <v>45976</v>
      </c>
      <c r="R329" s="4" t="s">
        <v>57</v>
      </c>
      <c r="S329" s="4" t="s">
        <v>41</v>
      </c>
    </row>
    <row r="330" spans="1:19" x14ac:dyDescent="0.3">
      <c r="A330" s="4" t="s">
        <v>401</v>
      </c>
      <c r="B330" s="4" t="s">
        <v>137</v>
      </c>
      <c r="C330" s="26" t="s">
        <v>402</v>
      </c>
      <c r="D330" s="14">
        <v>45666</v>
      </c>
      <c r="E330" s="14">
        <v>45795</v>
      </c>
      <c r="F330" s="17" t="str">
        <f t="shared" si="5"/>
        <v>Jan-2025</v>
      </c>
      <c r="G330" s="2">
        <v>77435.55</v>
      </c>
      <c r="H330" s="26" t="s">
        <v>18</v>
      </c>
      <c r="I330" s="32">
        <v>18</v>
      </c>
      <c r="J330" s="2">
        <v>13938.4</v>
      </c>
      <c r="K330" s="4" t="s">
        <v>33</v>
      </c>
      <c r="L330" s="4" t="s">
        <v>24</v>
      </c>
      <c r="M330" s="4" t="s">
        <v>55</v>
      </c>
      <c r="N330" s="5" t="s">
        <v>942</v>
      </c>
      <c r="O330" s="4" t="s">
        <v>111</v>
      </c>
      <c r="P330" s="6">
        <f>IF(Table3[[#This Row],[Payment Status]]="Overdue",1,0)</f>
        <v>0</v>
      </c>
      <c r="Q330" s="11"/>
      <c r="R330" s="4" t="s">
        <v>941</v>
      </c>
      <c r="S330" s="4" t="s">
        <v>85</v>
      </c>
    </row>
    <row r="331" spans="1:19" x14ac:dyDescent="0.3">
      <c r="A331" s="4" t="s">
        <v>773</v>
      </c>
      <c r="B331" s="4" t="s">
        <v>141</v>
      </c>
      <c r="C331" s="26" t="s">
        <v>774</v>
      </c>
      <c r="D331" s="14">
        <v>45480</v>
      </c>
      <c r="E331" s="14">
        <v>45655</v>
      </c>
      <c r="F331" s="17" t="str">
        <f t="shared" si="5"/>
        <v>Jul-2024</v>
      </c>
      <c r="G331" s="2">
        <v>18630.990000000002</v>
      </c>
      <c r="H331" s="26" t="s">
        <v>18</v>
      </c>
      <c r="I331" s="32">
        <v>28</v>
      </c>
      <c r="J331" s="2">
        <v>5216.68</v>
      </c>
      <c r="K331" s="4" t="s">
        <v>143</v>
      </c>
      <c r="L331" s="4" t="s">
        <v>79</v>
      </c>
      <c r="M331" s="4" t="s">
        <v>39</v>
      </c>
      <c r="N331" s="4" t="s">
        <v>26</v>
      </c>
      <c r="O331" s="4" t="s">
        <v>126</v>
      </c>
      <c r="P331" s="6">
        <f>IF(Table3[[#This Row],[Payment Status]]="Overdue",1,0)</f>
        <v>0</v>
      </c>
      <c r="Q331" s="10">
        <v>45522</v>
      </c>
      <c r="R331" s="4" t="s">
        <v>28</v>
      </c>
      <c r="S331" s="4" t="s">
        <v>29</v>
      </c>
    </row>
    <row r="332" spans="1:19" x14ac:dyDescent="0.3">
      <c r="A332" s="4" t="s">
        <v>83</v>
      </c>
      <c r="B332" s="4" t="s">
        <v>77</v>
      </c>
      <c r="C332" s="26" t="s">
        <v>84</v>
      </c>
      <c r="D332" s="14">
        <v>45410</v>
      </c>
      <c r="E332" s="14">
        <v>45930</v>
      </c>
      <c r="F332" s="17" t="str">
        <f t="shared" si="5"/>
        <v>Apr-2024</v>
      </c>
      <c r="G332" s="2">
        <v>53833.14</v>
      </c>
      <c r="H332" s="26" t="s">
        <v>18</v>
      </c>
      <c r="I332" s="32">
        <v>12</v>
      </c>
      <c r="J332" s="2">
        <v>6459.98</v>
      </c>
      <c r="K332" s="4" t="s">
        <v>106</v>
      </c>
      <c r="L332" s="4" t="s">
        <v>940</v>
      </c>
      <c r="M332" s="4" t="s">
        <v>25</v>
      </c>
      <c r="N332" s="4" t="s">
        <v>80</v>
      </c>
      <c r="O332" s="4" t="s">
        <v>126</v>
      </c>
      <c r="P332" s="6">
        <f>IF(Table3[[#This Row],[Payment Status]]="Overdue",1,0)</f>
        <v>0</v>
      </c>
      <c r="Q332" s="10">
        <v>45428</v>
      </c>
      <c r="R332" s="4" t="s">
        <v>62</v>
      </c>
      <c r="S332" s="4" t="s">
        <v>85</v>
      </c>
    </row>
    <row r="333" spans="1:19" x14ac:dyDescent="0.3">
      <c r="A333" s="4" t="s">
        <v>611</v>
      </c>
      <c r="B333" s="4" t="s">
        <v>31</v>
      </c>
      <c r="C333" s="26" t="s">
        <v>612</v>
      </c>
      <c r="D333" s="14">
        <v>45567</v>
      </c>
      <c r="F333" s="17" t="str">
        <f t="shared" si="5"/>
        <v>Oct-2024</v>
      </c>
      <c r="G333" s="2">
        <v>13356.18</v>
      </c>
      <c r="H333" s="30" t="s">
        <v>941</v>
      </c>
      <c r="I333" s="32">
        <v>12</v>
      </c>
      <c r="J333" s="2">
        <v>1602.74</v>
      </c>
      <c r="K333" s="4" t="s">
        <v>53</v>
      </c>
      <c r="L333" s="4" t="s">
        <v>98</v>
      </c>
      <c r="M333" s="4" t="s">
        <v>19</v>
      </c>
      <c r="N333" s="4" t="s">
        <v>80</v>
      </c>
      <c r="O333" s="6" t="s">
        <v>941</v>
      </c>
      <c r="P333" s="6">
        <f>IF(Table3[[#This Row],[Payment Status]]="Overdue",1,0)</f>
        <v>0</v>
      </c>
      <c r="Q333" s="11"/>
      <c r="R333" s="4" t="s">
        <v>62</v>
      </c>
      <c r="S333" s="4" t="s">
        <v>88</v>
      </c>
    </row>
    <row r="334" spans="1:19" x14ac:dyDescent="0.3">
      <c r="A334" s="4" t="s">
        <v>396</v>
      </c>
      <c r="B334" s="4" t="s">
        <v>31</v>
      </c>
      <c r="C334" s="27"/>
      <c r="D334" s="14">
        <v>45704</v>
      </c>
      <c r="E334" s="14">
        <v>45896</v>
      </c>
      <c r="F334" s="17" t="str">
        <f t="shared" si="5"/>
        <v>Feb-2025</v>
      </c>
      <c r="G334" s="2">
        <v>11799.17</v>
      </c>
      <c r="H334" s="26" t="s">
        <v>18</v>
      </c>
      <c r="I334" s="32">
        <v>18</v>
      </c>
      <c r="J334" s="2">
        <v>2123.85</v>
      </c>
      <c r="K334" s="4" t="s">
        <v>106</v>
      </c>
      <c r="L334" s="4" t="s">
        <v>70</v>
      </c>
      <c r="M334" s="4" t="s">
        <v>19</v>
      </c>
      <c r="N334" s="5" t="s">
        <v>942</v>
      </c>
      <c r="O334" s="4" t="s">
        <v>939</v>
      </c>
      <c r="P334" s="6">
        <f>IF(Table3[[#This Row],[Payment Status]]="Overdue",1,0)</f>
        <v>0</v>
      </c>
      <c r="R334" s="4" t="s">
        <v>28</v>
      </c>
      <c r="S334" s="5" t="s">
        <v>941</v>
      </c>
    </row>
    <row r="335" spans="1:19" x14ac:dyDescent="0.3">
      <c r="A335" s="4" t="s">
        <v>822</v>
      </c>
      <c r="B335" s="4" t="s">
        <v>153</v>
      </c>
      <c r="C335" s="26" t="s">
        <v>823</v>
      </c>
      <c r="D335" s="14">
        <v>45450</v>
      </c>
      <c r="E335" s="14">
        <v>45459</v>
      </c>
      <c r="F335" s="17" t="str">
        <f t="shared" si="5"/>
        <v>Jun-2024</v>
      </c>
      <c r="G335" s="2">
        <v>13260.46</v>
      </c>
      <c r="H335" s="26" t="s">
        <v>52</v>
      </c>
      <c r="I335" s="32">
        <v>18</v>
      </c>
      <c r="J335" s="2">
        <v>2386.88</v>
      </c>
      <c r="K335" s="4" t="s">
        <v>44</v>
      </c>
      <c r="L335" s="4" t="s">
        <v>34</v>
      </c>
      <c r="M335" s="4" t="s">
        <v>19</v>
      </c>
      <c r="N335" s="4" t="s">
        <v>26</v>
      </c>
      <c r="O335" s="4" t="s">
        <v>939</v>
      </c>
      <c r="P335" s="6">
        <f>IF(Table3[[#This Row],[Payment Status]]="Overdue",1,0)</f>
        <v>0</v>
      </c>
      <c r="Q335" s="11"/>
      <c r="R335" s="4" t="s">
        <v>20</v>
      </c>
      <c r="S335" s="4" t="s">
        <v>41</v>
      </c>
    </row>
    <row r="336" spans="1:19" x14ac:dyDescent="0.3">
      <c r="A336" s="4" t="s">
        <v>109</v>
      </c>
      <c r="B336" s="4" t="s">
        <v>923</v>
      </c>
      <c r="C336" s="26" t="s">
        <v>110</v>
      </c>
      <c r="D336" s="14">
        <v>45465</v>
      </c>
      <c r="E336" s="14">
        <v>45805</v>
      </c>
      <c r="F336" s="17" t="str">
        <f t="shared" si="5"/>
        <v>Jun-2024</v>
      </c>
      <c r="G336" s="2">
        <v>8782.32</v>
      </c>
      <c r="H336" s="26" t="s">
        <v>52</v>
      </c>
      <c r="I336" s="32">
        <v>18</v>
      </c>
      <c r="J336" s="2">
        <v>1580.82</v>
      </c>
      <c r="K336" s="4" t="s">
        <v>33</v>
      </c>
      <c r="L336" s="4" t="s">
        <v>70</v>
      </c>
      <c r="M336" s="4" t="s">
        <v>55</v>
      </c>
      <c r="N336" s="5" t="s">
        <v>942</v>
      </c>
      <c r="O336" s="4" t="s">
        <v>111</v>
      </c>
      <c r="P336" s="6">
        <f>IF(Table3[[#This Row],[Payment Status]]="Overdue",1,0)</f>
        <v>0</v>
      </c>
      <c r="Q336" s="11"/>
      <c r="R336" s="4" t="s">
        <v>62</v>
      </c>
      <c r="S336" s="4" t="s">
        <v>63</v>
      </c>
    </row>
    <row r="337" spans="1:19" x14ac:dyDescent="0.3">
      <c r="A337" s="4" t="s">
        <v>58</v>
      </c>
      <c r="B337" s="4" t="s">
        <v>923</v>
      </c>
      <c r="C337" s="26" t="s">
        <v>59</v>
      </c>
      <c r="D337" s="14">
        <v>45737</v>
      </c>
      <c r="E337" s="14">
        <v>45803</v>
      </c>
      <c r="F337" s="17" t="str">
        <f t="shared" si="5"/>
        <v>Mar-2025</v>
      </c>
      <c r="G337" s="2">
        <v>68939.539999999994</v>
      </c>
      <c r="H337" s="26" t="s">
        <v>52</v>
      </c>
      <c r="I337" s="32">
        <v>28</v>
      </c>
      <c r="J337" s="2">
        <v>19303.07</v>
      </c>
      <c r="K337" s="4" t="s">
        <v>73</v>
      </c>
      <c r="L337" s="4" t="s">
        <v>60</v>
      </c>
      <c r="M337" s="4" t="s">
        <v>61</v>
      </c>
      <c r="N337" s="4" t="s">
        <v>56</v>
      </c>
      <c r="O337" s="4" t="s">
        <v>92</v>
      </c>
      <c r="P337" s="6">
        <f>IF(Table3[[#This Row],[Payment Status]]="Overdue",1,0)</f>
        <v>1</v>
      </c>
      <c r="Q337" s="11"/>
      <c r="R337" s="4" t="s">
        <v>62</v>
      </c>
      <c r="S337" s="4" t="s">
        <v>63</v>
      </c>
    </row>
    <row r="338" spans="1:19" x14ac:dyDescent="0.3">
      <c r="A338" s="4" t="s">
        <v>170</v>
      </c>
      <c r="B338" s="4" t="s">
        <v>50</v>
      </c>
      <c r="C338" s="26" t="s">
        <v>171</v>
      </c>
      <c r="D338" s="14">
        <v>45537</v>
      </c>
      <c r="E338" s="14">
        <v>45633</v>
      </c>
      <c r="F338" s="17" t="str">
        <f t="shared" si="5"/>
        <v>Sep-2024</v>
      </c>
      <c r="G338" s="2">
        <v>32663.27</v>
      </c>
      <c r="H338" s="26" t="s">
        <v>18</v>
      </c>
      <c r="I338" s="32">
        <v>18</v>
      </c>
      <c r="J338" s="2">
        <v>5879.39</v>
      </c>
      <c r="K338" s="4" t="s">
        <v>44</v>
      </c>
      <c r="L338" s="4" t="s">
        <v>45</v>
      </c>
      <c r="M338" s="4" t="s">
        <v>19</v>
      </c>
      <c r="N338" s="4" t="s">
        <v>80</v>
      </c>
      <c r="O338" s="4" t="s">
        <v>939</v>
      </c>
      <c r="P338" s="6">
        <f>IF(Table3[[#This Row],[Payment Status]]="Overdue",1,0)</f>
        <v>0</v>
      </c>
      <c r="Q338" s="11"/>
      <c r="R338" s="4" t="s">
        <v>62</v>
      </c>
      <c r="S338" s="4" t="s">
        <v>63</v>
      </c>
    </row>
    <row r="339" spans="1:19" x14ac:dyDescent="0.3">
      <c r="A339" s="4" t="s">
        <v>694</v>
      </c>
      <c r="B339" s="4" t="s">
        <v>206</v>
      </c>
      <c r="C339" s="26" t="s">
        <v>695</v>
      </c>
      <c r="D339" s="14">
        <v>45432</v>
      </c>
      <c r="E339" s="14">
        <v>45434</v>
      </c>
      <c r="F339" s="17" t="str">
        <f t="shared" si="5"/>
        <v>May-2024</v>
      </c>
      <c r="G339" s="2">
        <v>71021.16</v>
      </c>
      <c r="H339" s="26" t="s">
        <v>52</v>
      </c>
      <c r="I339" s="32">
        <v>18</v>
      </c>
      <c r="J339" s="2">
        <v>12783.81</v>
      </c>
      <c r="K339" s="4" t="s">
        <v>53</v>
      </c>
      <c r="L339" s="4" t="s">
        <v>34</v>
      </c>
      <c r="M339" s="4" t="s">
        <v>55</v>
      </c>
      <c r="N339" s="4" t="s">
        <v>80</v>
      </c>
      <c r="O339" s="4" t="s">
        <v>92</v>
      </c>
      <c r="P339" s="6">
        <f>IF(Table3[[#This Row],[Payment Status]]="Overdue",1,0)</f>
        <v>1</v>
      </c>
      <c r="R339" s="4" t="s">
        <v>20</v>
      </c>
      <c r="S339" s="5" t="s">
        <v>941</v>
      </c>
    </row>
    <row r="340" spans="1:19" x14ac:dyDescent="0.3">
      <c r="A340" s="4" t="s">
        <v>833</v>
      </c>
      <c r="B340" s="4" t="s">
        <v>630</v>
      </c>
      <c r="C340" s="26" t="s">
        <v>834</v>
      </c>
      <c r="D340" s="14">
        <v>45435</v>
      </c>
      <c r="E340" s="14">
        <v>45804</v>
      </c>
      <c r="F340" s="17" t="str">
        <f t="shared" si="5"/>
        <v>May-2024</v>
      </c>
      <c r="G340" s="2">
        <v>40045.15</v>
      </c>
      <c r="H340" s="26" t="s">
        <v>52</v>
      </c>
      <c r="I340" s="32">
        <v>18</v>
      </c>
      <c r="J340" s="2">
        <v>7208.13</v>
      </c>
      <c r="K340" s="4" t="s">
        <v>53</v>
      </c>
      <c r="L340" s="4" t="s">
        <v>54</v>
      </c>
      <c r="M340" s="4" t="s">
        <v>19</v>
      </c>
      <c r="N340" s="5" t="s">
        <v>942</v>
      </c>
      <c r="O340" s="4" t="s">
        <v>92</v>
      </c>
      <c r="P340" s="6">
        <f>IF(Table3[[#This Row],[Payment Status]]="Overdue",1,0)</f>
        <v>1</v>
      </c>
      <c r="Q340" s="11"/>
      <c r="R340" s="4" t="s">
        <v>184</v>
      </c>
      <c r="S340" s="4" t="s">
        <v>67</v>
      </c>
    </row>
    <row r="341" spans="1:19" x14ac:dyDescent="0.3">
      <c r="A341" s="4" t="s">
        <v>89</v>
      </c>
      <c r="B341" s="4" t="s">
        <v>630</v>
      </c>
      <c r="C341" s="26" t="s">
        <v>90</v>
      </c>
      <c r="D341" s="14">
        <v>45358</v>
      </c>
      <c r="E341" s="14">
        <v>45386</v>
      </c>
      <c r="F341" s="17" t="str">
        <f t="shared" si="5"/>
        <v>Mar-2024</v>
      </c>
      <c r="G341" s="2">
        <v>63204.98</v>
      </c>
      <c r="H341" s="26" t="s">
        <v>52</v>
      </c>
      <c r="I341" s="32">
        <v>5</v>
      </c>
      <c r="J341" s="2">
        <v>3160.25</v>
      </c>
      <c r="K341" s="4" t="s">
        <v>165</v>
      </c>
      <c r="L341" s="4" t="s">
        <v>34</v>
      </c>
      <c r="M341" s="4" t="s">
        <v>19</v>
      </c>
      <c r="N341" s="4" t="s">
        <v>91</v>
      </c>
      <c r="O341" s="4" t="s">
        <v>92</v>
      </c>
      <c r="P341" s="6">
        <f>IF(Table3[[#This Row],[Payment Status]]="Overdue",1,0)</f>
        <v>1</v>
      </c>
      <c r="Q341" s="11"/>
      <c r="R341" s="4" t="s">
        <v>941</v>
      </c>
      <c r="S341" s="4" t="s">
        <v>63</v>
      </c>
    </row>
    <row r="342" spans="1:19" x14ac:dyDescent="0.3">
      <c r="A342" s="4" t="s">
        <v>160</v>
      </c>
      <c r="B342" s="4" t="s">
        <v>137</v>
      </c>
      <c r="C342" s="26" t="s">
        <v>161</v>
      </c>
      <c r="D342" s="14">
        <v>45358</v>
      </c>
      <c r="E342" s="14">
        <v>45430</v>
      </c>
      <c r="F342" s="17" t="str">
        <f t="shared" si="5"/>
        <v>Mar-2024</v>
      </c>
      <c r="G342" s="2">
        <v>64340.84</v>
      </c>
      <c r="H342" s="26" t="s">
        <v>52</v>
      </c>
      <c r="I342" s="32">
        <v>18</v>
      </c>
      <c r="J342" s="2">
        <v>11581.35</v>
      </c>
      <c r="K342" s="4" t="s">
        <v>73</v>
      </c>
      <c r="L342" s="4" t="s">
        <v>24</v>
      </c>
      <c r="M342" s="4" t="s">
        <v>55</v>
      </c>
      <c r="N342" s="4" t="s">
        <v>80</v>
      </c>
      <c r="O342" s="4" t="s">
        <v>126</v>
      </c>
      <c r="P342" s="6">
        <f>IF(Table3[[#This Row],[Payment Status]]="Overdue",1,0)</f>
        <v>0</v>
      </c>
      <c r="Q342" s="10">
        <v>45413</v>
      </c>
      <c r="R342" s="4" t="s">
        <v>62</v>
      </c>
      <c r="S342" s="4" t="s">
        <v>41</v>
      </c>
    </row>
    <row r="343" spans="1:19" x14ac:dyDescent="0.3">
      <c r="A343" s="4" t="s">
        <v>95</v>
      </c>
      <c r="B343" s="4" t="s">
        <v>102</v>
      </c>
      <c r="C343" s="26" t="s">
        <v>96</v>
      </c>
      <c r="D343" s="14">
        <v>45806</v>
      </c>
      <c r="F343" s="17" t="str">
        <f t="shared" si="5"/>
        <v>May-2025</v>
      </c>
      <c r="G343" s="2">
        <v>2159.6999999999998</v>
      </c>
      <c r="H343" s="26" t="s">
        <v>18</v>
      </c>
      <c r="I343" s="32">
        <v>28</v>
      </c>
      <c r="J343" s="2">
        <v>604.72</v>
      </c>
      <c r="K343" s="4" t="s">
        <v>97</v>
      </c>
      <c r="L343" s="4" t="s">
        <v>98</v>
      </c>
      <c r="M343" s="4" t="s">
        <v>941</v>
      </c>
      <c r="N343" s="4" t="s">
        <v>56</v>
      </c>
      <c r="O343" s="6" t="s">
        <v>941</v>
      </c>
      <c r="P343" s="6">
        <f>IF(Table3[[#This Row],[Payment Status]]="Overdue",1,0)</f>
        <v>0</v>
      </c>
      <c r="Q343" s="11"/>
      <c r="R343" s="4" t="s">
        <v>28</v>
      </c>
      <c r="S343" s="4" t="s">
        <v>85</v>
      </c>
    </row>
    <row r="344" spans="1:19" x14ac:dyDescent="0.3">
      <c r="A344" s="4" t="s">
        <v>690</v>
      </c>
      <c r="B344" s="4" t="s">
        <v>206</v>
      </c>
      <c r="C344" s="26" t="s">
        <v>691</v>
      </c>
      <c r="D344" s="14">
        <v>45708</v>
      </c>
      <c r="E344" s="14">
        <v>45733</v>
      </c>
      <c r="F344" s="17" t="str">
        <f t="shared" si="5"/>
        <v>Feb-2025</v>
      </c>
      <c r="G344" s="2">
        <v>20438.54</v>
      </c>
      <c r="H344" s="26" t="s">
        <v>52</v>
      </c>
      <c r="I344" s="32">
        <v>5</v>
      </c>
      <c r="J344" s="2">
        <v>1021.93</v>
      </c>
      <c r="K344" s="5" t="s">
        <v>66</v>
      </c>
      <c r="L344" s="4" t="s">
        <v>54</v>
      </c>
      <c r="M344" s="4" t="s">
        <v>39</v>
      </c>
      <c r="N344" s="4" t="s">
        <v>100</v>
      </c>
      <c r="O344" s="4" t="s">
        <v>126</v>
      </c>
      <c r="P344" s="6">
        <f>IF(Table3[[#This Row],[Payment Status]]="Overdue",1,0)</f>
        <v>0</v>
      </c>
      <c r="Q344" s="10">
        <v>45758</v>
      </c>
      <c r="R344" s="4" t="s">
        <v>184</v>
      </c>
      <c r="S344" s="4" t="s">
        <v>63</v>
      </c>
    </row>
    <row r="345" spans="1:19" x14ac:dyDescent="0.3">
      <c r="A345" s="4" t="s">
        <v>901</v>
      </c>
      <c r="B345" s="4" t="s">
        <v>141</v>
      </c>
      <c r="C345" s="26" t="s">
        <v>902</v>
      </c>
      <c r="D345" s="14">
        <v>45744</v>
      </c>
      <c r="E345" s="14">
        <v>45846</v>
      </c>
      <c r="F345" s="17" t="str">
        <f t="shared" si="5"/>
        <v>Mar-2025</v>
      </c>
      <c r="G345" s="2">
        <v>79894.53</v>
      </c>
      <c r="H345" s="26" t="s">
        <v>72</v>
      </c>
      <c r="I345" s="32">
        <v>12</v>
      </c>
      <c r="J345" s="2">
        <v>9587.34</v>
      </c>
      <c r="K345" s="4" t="s">
        <v>230</v>
      </c>
      <c r="L345" s="4" t="s">
        <v>54</v>
      </c>
      <c r="M345" s="4" t="s">
        <v>55</v>
      </c>
      <c r="N345" s="4" t="s">
        <v>91</v>
      </c>
      <c r="O345" s="4" t="s">
        <v>941</v>
      </c>
      <c r="P345" s="6">
        <f>IF(Table3[[#This Row],[Payment Status]]="Overdue",1,0)</f>
        <v>0</v>
      </c>
      <c r="Q345" s="11"/>
      <c r="R345" s="4" t="s">
        <v>941</v>
      </c>
      <c r="S345" s="4" t="s">
        <v>85</v>
      </c>
    </row>
    <row r="346" spans="1:19" x14ac:dyDescent="0.3">
      <c r="A346" s="4" t="s">
        <v>556</v>
      </c>
      <c r="B346" s="4" t="s">
        <v>923</v>
      </c>
      <c r="C346" s="26" t="s">
        <v>557</v>
      </c>
      <c r="D346" s="14">
        <v>45676</v>
      </c>
      <c r="F346" s="17" t="str">
        <f t="shared" si="5"/>
        <v>Jan-2025</v>
      </c>
      <c r="G346" s="2">
        <v>72597.41</v>
      </c>
      <c r="H346" s="26" t="s">
        <v>52</v>
      </c>
      <c r="I346" s="32">
        <v>18</v>
      </c>
      <c r="J346" s="2">
        <v>13067.53</v>
      </c>
      <c r="K346" s="4" t="s">
        <v>97</v>
      </c>
      <c r="L346" s="4" t="s">
        <v>60</v>
      </c>
      <c r="M346" s="4" t="s">
        <v>19</v>
      </c>
      <c r="N346" s="4" t="s">
        <v>26</v>
      </c>
      <c r="O346" s="4" t="s">
        <v>92</v>
      </c>
      <c r="P346" s="6">
        <f>IF(Table3[[#This Row],[Payment Status]]="Overdue",1,0)</f>
        <v>1</v>
      </c>
      <c r="Q346" s="11"/>
      <c r="R346" s="4" t="s">
        <v>184</v>
      </c>
      <c r="S346" s="4" t="s">
        <v>41</v>
      </c>
    </row>
    <row r="347" spans="1:19" x14ac:dyDescent="0.3">
      <c r="A347" s="4" t="s">
        <v>454</v>
      </c>
      <c r="B347" s="4" t="s">
        <v>141</v>
      </c>
      <c r="C347" s="27"/>
      <c r="D347" s="14">
        <v>45331</v>
      </c>
      <c r="E347" s="14">
        <v>45623</v>
      </c>
      <c r="F347" s="17" t="str">
        <f t="shared" si="5"/>
        <v>Feb-2024</v>
      </c>
      <c r="G347" s="2">
        <v>12496.85</v>
      </c>
      <c r="H347" s="26" t="s">
        <v>18</v>
      </c>
      <c r="I347" s="32">
        <v>18</v>
      </c>
      <c r="J347" s="2">
        <v>2249.4299999999998</v>
      </c>
      <c r="K347" s="4" t="s">
        <v>143</v>
      </c>
      <c r="L347" s="4" t="s">
        <v>24</v>
      </c>
      <c r="M347" s="4" t="s">
        <v>19</v>
      </c>
      <c r="N347" s="4" t="s">
        <v>35</v>
      </c>
      <c r="O347" s="6" t="s">
        <v>941</v>
      </c>
      <c r="P347" s="6">
        <f>IF(Table3[[#This Row],[Payment Status]]="Overdue",1,0)</f>
        <v>0</v>
      </c>
      <c r="Q347" s="11"/>
      <c r="R347" s="4" t="s">
        <v>184</v>
      </c>
      <c r="S347" s="4" t="s">
        <v>88</v>
      </c>
    </row>
    <row r="348" spans="1:19" x14ac:dyDescent="0.3">
      <c r="A348" s="4" t="s">
        <v>512</v>
      </c>
      <c r="B348" s="4" t="s">
        <v>50</v>
      </c>
      <c r="C348" s="26" t="s">
        <v>513</v>
      </c>
      <c r="D348" s="14">
        <v>45511</v>
      </c>
      <c r="E348" s="14">
        <v>45913</v>
      </c>
      <c r="F348" s="17" t="str">
        <f t="shared" si="5"/>
        <v>Aug-2024</v>
      </c>
      <c r="G348" s="2">
        <v>15769.04</v>
      </c>
      <c r="H348" s="26" t="s">
        <v>52</v>
      </c>
      <c r="I348" s="32">
        <v>18</v>
      </c>
      <c r="J348" s="2">
        <v>2838.43</v>
      </c>
      <c r="K348" s="4" t="s">
        <v>73</v>
      </c>
      <c r="L348" s="4" t="s">
        <v>66</v>
      </c>
      <c r="M348" s="4" t="s">
        <v>55</v>
      </c>
      <c r="N348" s="4" t="s">
        <v>91</v>
      </c>
      <c r="O348" s="4" t="s">
        <v>92</v>
      </c>
      <c r="P348" s="6">
        <f>IF(Table3[[#This Row],[Payment Status]]="Overdue",1,0)</f>
        <v>1</v>
      </c>
      <c r="Q348" s="11"/>
      <c r="R348" s="4" t="s">
        <v>40</v>
      </c>
      <c r="S348" s="4" t="s">
        <v>29</v>
      </c>
    </row>
    <row r="349" spans="1:19" x14ac:dyDescent="0.3">
      <c r="A349" s="4" t="s">
        <v>869</v>
      </c>
      <c r="B349" s="4" t="s">
        <v>47</v>
      </c>
      <c r="C349" s="26" t="s">
        <v>870</v>
      </c>
      <c r="D349" s="14">
        <v>45446</v>
      </c>
      <c r="E349" s="14">
        <v>45664</v>
      </c>
      <c r="F349" s="17" t="str">
        <f t="shared" si="5"/>
        <v>Jun-2024</v>
      </c>
      <c r="G349" s="2">
        <v>42527.96</v>
      </c>
      <c r="H349" s="26" t="s">
        <v>52</v>
      </c>
      <c r="I349" s="32">
        <v>18</v>
      </c>
      <c r="J349" s="2">
        <v>7655.03</v>
      </c>
      <c r="K349" s="4" t="s">
        <v>53</v>
      </c>
      <c r="L349" s="4" t="s">
        <v>66</v>
      </c>
      <c r="M349" s="4" t="s">
        <v>19</v>
      </c>
      <c r="N349" s="4" t="s">
        <v>91</v>
      </c>
      <c r="O349" s="4" t="s">
        <v>939</v>
      </c>
      <c r="P349" s="6">
        <f>IF(Table3[[#This Row],[Payment Status]]="Overdue",1,0)</f>
        <v>0</v>
      </c>
      <c r="Q349" s="11"/>
      <c r="R349" s="4" t="s">
        <v>36</v>
      </c>
      <c r="S349" s="4" t="s">
        <v>85</v>
      </c>
    </row>
    <row r="350" spans="1:19" x14ac:dyDescent="0.3">
      <c r="A350" s="4" t="s">
        <v>228</v>
      </c>
      <c r="B350" s="4" t="s">
        <v>155</v>
      </c>
      <c r="C350" s="26" t="s">
        <v>229</v>
      </c>
      <c r="D350" s="14">
        <v>45664</v>
      </c>
      <c r="E350" s="14">
        <v>45993</v>
      </c>
      <c r="F350" s="17" t="str">
        <f t="shared" si="5"/>
        <v>Jan-2025</v>
      </c>
      <c r="G350" s="2">
        <v>42751.93</v>
      </c>
      <c r="H350" s="26" t="s">
        <v>52</v>
      </c>
      <c r="I350" s="32">
        <v>18</v>
      </c>
      <c r="J350" s="2">
        <v>7695.35</v>
      </c>
      <c r="K350" s="4" t="s">
        <v>230</v>
      </c>
      <c r="L350" s="4" t="s">
        <v>60</v>
      </c>
      <c r="M350" s="4" t="s">
        <v>39</v>
      </c>
      <c r="N350" s="4" t="s">
        <v>56</v>
      </c>
      <c r="O350" s="4" t="s">
        <v>92</v>
      </c>
      <c r="P350" s="6">
        <f>IF(Table3[[#This Row],[Payment Status]]="Overdue",1,0)</f>
        <v>1</v>
      </c>
      <c r="Q350" s="11"/>
      <c r="R350" s="4" t="s">
        <v>62</v>
      </c>
      <c r="S350" s="4" t="s">
        <v>85</v>
      </c>
    </row>
    <row r="351" spans="1:19" x14ac:dyDescent="0.3">
      <c r="A351" s="4" t="s">
        <v>388</v>
      </c>
      <c r="B351" s="4" t="s">
        <v>924</v>
      </c>
      <c r="C351" s="26" t="s">
        <v>389</v>
      </c>
      <c r="D351" s="14">
        <v>45393</v>
      </c>
      <c r="E351" s="14">
        <v>45401</v>
      </c>
      <c r="F351" s="17" t="str">
        <f t="shared" si="5"/>
        <v>Apr-2024</v>
      </c>
      <c r="G351" s="2">
        <v>7755.78</v>
      </c>
      <c r="H351" s="26" t="s">
        <v>52</v>
      </c>
      <c r="I351" s="32">
        <v>0</v>
      </c>
      <c r="J351" s="2">
        <v>0</v>
      </c>
      <c r="K351" s="4" t="s">
        <v>44</v>
      </c>
      <c r="L351" s="4" t="s">
        <v>45</v>
      </c>
      <c r="M351" s="4" t="s">
        <v>941</v>
      </c>
      <c r="N351" s="4" t="s">
        <v>26</v>
      </c>
      <c r="O351" s="4" t="s">
        <v>939</v>
      </c>
      <c r="P351" s="6">
        <f>IF(Table3[[#This Row],[Payment Status]]="Overdue",1,0)</f>
        <v>0</v>
      </c>
      <c r="Q351" s="11"/>
      <c r="R351" s="4" t="s">
        <v>184</v>
      </c>
      <c r="S351" s="4" t="s">
        <v>63</v>
      </c>
    </row>
    <row r="352" spans="1:19" x14ac:dyDescent="0.3">
      <c r="A352" s="4" t="s">
        <v>671</v>
      </c>
      <c r="B352" s="4" t="s">
        <v>153</v>
      </c>
      <c r="C352" s="26" t="s">
        <v>933</v>
      </c>
      <c r="D352" s="14">
        <v>45697</v>
      </c>
      <c r="F352" s="17" t="str">
        <f t="shared" si="5"/>
        <v>Feb-2025</v>
      </c>
      <c r="G352" s="2">
        <v>66519.34</v>
      </c>
      <c r="H352" s="26" t="s">
        <v>72</v>
      </c>
      <c r="I352" s="32">
        <v>12</v>
      </c>
      <c r="J352" s="2">
        <v>7982.32</v>
      </c>
      <c r="K352" s="4" t="s">
        <v>106</v>
      </c>
      <c r="L352" s="4" t="s">
        <v>70</v>
      </c>
      <c r="M352" s="4" t="s">
        <v>39</v>
      </c>
      <c r="N352" s="4" t="s">
        <v>100</v>
      </c>
      <c r="O352" s="4" t="s">
        <v>27</v>
      </c>
      <c r="P352" s="6">
        <f>IF(Table3[[#This Row],[Payment Status]]="Overdue",1,0)</f>
        <v>0</v>
      </c>
      <c r="Q352" s="11"/>
      <c r="R352" s="4" t="s">
        <v>40</v>
      </c>
      <c r="S352" s="4" t="s">
        <v>41</v>
      </c>
    </row>
    <row r="353" spans="1:19" x14ac:dyDescent="0.3">
      <c r="A353" s="4" t="s">
        <v>189</v>
      </c>
      <c r="B353" s="4" t="s">
        <v>190</v>
      </c>
      <c r="C353" s="26" t="s">
        <v>191</v>
      </c>
      <c r="D353" s="14">
        <v>45344</v>
      </c>
      <c r="E353" s="14">
        <v>45692</v>
      </c>
      <c r="F353" s="17" t="str">
        <f t="shared" si="5"/>
        <v>Feb-2024</v>
      </c>
      <c r="G353" s="2">
        <v>36559.339999999997</v>
      </c>
      <c r="H353" s="26" t="s">
        <v>52</v>
      </c>
      <c r="I353" s="32">
        <v>18</v>
      </c>
      <c r="J353" s="2">
        <v>6580.68</v>
      </c>
      <c r="K353" s="4" t="s">
        <v>53</v>
      </c>
      <c r="L353" s="4" t="s">
        <v>54</v>
      </c>
      <c r="M353" s="4" t="s">
        <v>941</v>
      </c>
      <c r="N353" s="5" t="s">
        <v>942</v>
      </c>
      <c r="O353" s="4" t="s">
        <v>25</v>
      </c>
      <c r="P353" s="6">
        <f>IF(Table3[[#This Row],[Payment Status]]="Overdue",1,0)</f>
        <v>0</v>
      </c>
      <c r="Q353" s="11"/>
      <c r="R353" s="4" t="s">
        <v>184</v>
      </c>
      <c r="S353" s="4" t="s">
        <v>88</v>
      </c>
    </row>
    <row r="354" spans="1:19" x14ac:dyDescent="0.3">
      <c r="A354" s="4" t="s">
        <v>457</v>
      </c>
      <c r="B354" s="4" t="s">
        <v>163</v>
      </c>
      <c r="C354" s="26" t="s">
        <v>458</v>
      </c>
      <c r="D354" s="14">
        <v>45320</v>
      </c>
      <c r="E354" s="14">
        <v>45908</v>
      </c>
      <c r="F354" s="17" t="str">
        <f t="shared" si="5"/>
        <v>Jan-2024</v>
      </c>
      <c r="G354" s="2">
        <v>78262.429999999993</v>
      </c>
      <c r="H354" s="26" t="s">
        <v>18</v>
      </c>
      <c r="I354" s="32">
        <v>18</v>
      </c>
      <c r="J354" s="2">
        <v>14087.24</v>
      </c>
      <c r="K354" s="4" t="s">
        <v>143</v>
      </c>
      <c r="L354" s="4" t="s">
        <v>79</v>
      </c>
      <c r="M354" s="4" t="s">
        <v>39</v>
      </c>
      <c r="N354" s="4" t="s">
        <v>35</v>
      </c>
      <c r="O354" s="4" t="s">
        <v>939</v>
      </c>
      <c r="P354" s="6">
        <f>IF(Table3[[#This Row],[Payment Status]]="Overdue",1,0)</f>
        <v>0</v>
      </c>
      <c r="Q354" s="11"/>
      <c r="R354" s="4" t="s">
        <v>184</v>
      </c>
      <c r="S354" s="4" t="s">
        <v>29</v>
      </c>
    </row>
    <row r="355" spans="1:19" x14ac:dyDescent="0.3">
      <c r="A355" s="4" t="s">
        <v>727</v>
      </c>
      <c r="B355" s="4" t="s">
        <v>630</v>
      </c>
      <c r="C355" s="27"/>
      <c r="D355" s="14">
        <v>45872</v>
      </c>
      <c r="F355" s="17" t="str">
        <f t="shared" si="5"/>
        <v>Aug-2025</v>
      </c>
      <c r="G355" s="2">
        <v>10095.030000000001</v>
      </c>
      <c r="H355" s="26" t="s">
        <v>52</v>
      </c>
      <c r="I355" s="32">
        <v>18</v>
      </c>
      <c r="J355" s="2">
        <v>1817.11</v>
      </c>
      <c r="K355" s="4" t="s">
        <v>33</v>
      </c>
      <c r="L355" s="4" t="s">
        <v>24</v>
      </c>
      <c r="M355" s="4" t="s">
        <v>39</v>
      </c>
      <c r="N355" s="4" t="s">
        <v>26</v>
      </c>
      <c r="O355" s="4" t="s">
        <v>111</v>
      </c>
      <c r="P355" s="6">
        <f>IF(Table3[[#This Row],[Payment Status]]="Overdue",1,0)</f>
        <v>0</v>
      </c>
      <c r="Q355" s="11"/>
      <c r="R355" s="4" t="s">
        <v>28</v>
      </c>
      <c r="S355" s="4" t="s">
        <v>41</v>
      </c>
    </row>
    <row r="356" spans="1:19" x14ac:dyDescent="0.3">
      <c r="A356" s="4" t="s">
        <v>542</v>
      </c>
      <c r="B356" s="4" t="s">
        <v>141</v>
      </c>
      <c r="C356" s="26" t="s">
        <v>543</v>
      </c>
      <c r="D356" s="14">
        <v>45785</v>
      </c>
      <c r="F356" s="17" t="str">
        <f t="shared" si="5"/>
        <v>May-2025</v>
      </c>
      <c r="G356" s="2">
        <v>29724.75</v>
      </c>
      <c r="H356" s="26" t="s">
        <v>52</v>
      </c>
      <c r="I356" s="32">
        <v>18</v>
      </c>
      <c r="J356" s="2">
        <v>5350.45</v>
      </c>
      <c r="K356" s="5" t="s">
        <v>66</v>
      </c>
      <c r="L356" s="4" t="s">
        <v>34</v>
      </c>
      <c r="M356" s="4" t="s">
        <v>61</v>
      </c>
      <c r="N356" s="4" t="s">
        <v>56</v>
      </c>
      <c r="O356" s="4" t="s">
        <v>25</v>
      </c>
      <c r="P356" s="6">
        <f>IF(Table3[[#This Row],[Payment Status]]="Overdue",1,0)</f>
        <v>0</v>
      </c>
      <c r="Q356" s="11"/>
      <c r="R356" s="4" t="s">
        <v>62</v>
      </c>
      <c r="S356" s="4" t="s">
        <v>63</v>
      </c>
    </row>
    <row r="357" spans="1:19" x14ac:dyDescent="0.3">
      <c r="A357" s="4" t="s">
        <v>436</v>
      </c>
      <c r="B357" s="4" t="s">
        <v>924</v>
      </c>
      <c r="C357" s="26" t="s">
        <v>437</v>
      </c>
      <c r="D357" s="14">
        <v>45913</v>
      </c>
      <c r="F357" s="17" t="str">
        <f t="shared" si="5"/>
        <v>Sep-2025</v>
      </c>
      <c r="G357" s="2">
        <v>48272</v>
      </c>
      <c r="H357" s="26" t="s">
        <v>72</v>
      </c>
      <c r="I357" s="32">
        <v>0</v>
      </c>
      <c r="J357" s="2">
        <v>0</v>
      </c>
      <c r="K357" s="4" t="s">
        <v>66</v>
      </c>
      <c r="L357" s="4" t="s">
        <v>45</v>
      </c>
      <c r="M357" s="4" t="s">
        <v>55</v>
      </c>
      <c r="N357" s="4" t="s">
        <v>56</v>
      </c>
      <c r="O357" s="4" t="s">
        <v>126</v>
      </c>
      <c r="P357" s="6">
        <f>IF(Table3[[#This Row],[Payment Status]]="Overdue",1,0)</f>
        <v>0</v>
      </c>
      <c r="Q357" s="10">
        <v>45971</v>
      </c>
      <c r="R357" s="4" t="s">
        <v>20</v>
      </c>
      <c r="S357" s="4" t="s">
        <v>41</v>
      </c>
    </row>
    <row r="358" spans="1:19" x14ac:dyDescent="0.3">
      <c r="A358" s="4" t="s">
        <v>579</v>
      </c>
      <c r="B358" s="4" t="s">
        <v>155</v>
      </c>
      <c r="C358" s="26" t="s">
        <v>580</v>
      </c>
      <c r="D358" s="14">
        <v>45334</v>
      </c>
      <c r="E358" s="14">
        <v>45896</v>
      </c>
      <c r="F358" s="17" t="str">
        <f t="shared" si="5"/>
        <v>Feb-2024</v>
      </c>
      <c r="G358" s="2">
        <v>67626.06</v>
      </c>
      <c r="H358" s="26" t="s">
        <v>72</v>
      </c>
      <c r="I358" s="32">
        <v>18</v>
      </c>
      <c r="J358" s="2">
        <v>12172.69</v>
      </c>
      <c r="K358" s="4" t="s">
        <v>33</v>
      </c>
      <c r="L358" s="4" t="s">
        <v>60</v>
      </c>
      <c r="M358" s="4" t="s">
        <v>941</v>
      </c>
      <c r="N358" s="4" t="s">
        <v>100</v>
      </c>
      <c r="O358" s="4" t="s">
        <v>92</v>
      </c>
      <c r="P358" s="6">
        <f>IF(Table3[[#This Row],[Payment Status]]="Overdue",1,0)</f>
        <v>1</v>
      </c>
      <c r="Q358" s="11"/>
      <c r="R358" s="4" t="s">
        <v>62</v>
      </c>
      <c r="S358" s="4" t="s">
        <v>63</v>
      </c>
    </row>
    <row r="359" spans="1:19" x14ac:dyDescent="0.3">
      <c r="A359" s="4" t="s">
        <v>144</v>
      </c>
      <c r="B359" s="4" t="s">
        <v>924</v>
      </c>
      <c r="C359" s="26" t="s">
        <v>145</v>
      </c>
      <c r="D359" s="14">
        <v>45808</v>
      </c>
      <c r="E359" s="14">
        <v>45897</v>
      </c>
      <c r="F359" s="17" t="str">
        <f t="shared" si="5"/>
        <v>May-2025</v>
      </c>
      <c r="G359" s="2">
        <v>1954.65</v>
      </c>
      <c r="H359" s="26" t="s">
        <v>52</v>
      </c>
      <c r="I359" s="32">
        <v>18</v>
      </c>
      <c r="J359" s="2">
        <v>351.84</v>
      </c>
      <c r="K359" s="4" t="s">
        <v>44</v>
      </c>
      <c r="L359" s="4" t="s">
        <v>54</v>
      </c>
      <c r="M359" s="4" t="s">
        <v>55</v>
      </c>
      <c r="N359" s="4" t="s">
        <v>80</v>
      </c>
      <c r="O359" s="6" t="s">
        <v>126</v>
      </c>
      <c r="P359" s="6">
        <f>IF(Table3[[#This Row],[Payment Status]]="Overdue",1,0)</f>
        <v>0</v>
      </c>
      <c r="Q359" s="10">
        <v>45955</v>
      </c>
      <c r="R359" s="4" t="s">
        <v>20</v>
      </c>
      <c r="S359" s="4" t="s">
        <v>67</v>
      </c>
    </row>
    <row r="360" spans="1:19" x14ac:dyDescent="0.3">
      <c r="A360" s="4" t="s">
        <v>812</v>
      </c>
      <c r="B360" s="4" t="s">
        <v>190</v>
      </c>
      <c r="C360" s="26" t="s">
        <v>813</v>
      </c>
      <c r="D360" s="14">
        <v>45757</v>
      </c>
      <c r="E360" s="14">
        <v>45824</v>
      </c>
      <c r="F360" s="17" t="str">
        <f t="shared" si="5"/>
        <v>Apr-2025</v>
      </c>
      <c r="G360" s="2">
        <v>71684.97</v>
      </c>
      <c r="H360" s="26" t="s">
        <v>52</v>
      </c>
      <c r="I360" s="32">
        <v>0</v>
      </c>
      <c r="J360" s="2">
        <v>0</v>
      </c>
      <c r="K360" s="4" t="s">
        <v>143</v>
      </c>
      <c r="L360" s="4" t="s">
        <v>70</v>
      </c>
      <c r="M360" s="4" t="s">
        <v>25</v>
      </c>
      <c r="N360" s="5" t="s">
        <v>942</v>
      </c>
      <c r="O360" s="4" t="s">
        <v>27</v>
      </c>
      <c r="P360" s="6">
        <f>IF(Table3[[#This Row],[Payment Status]]="Overdue",1,0)</f>
        <v>0</v>
      </c>
      <c r="Q360" s="11"/>
      <c r="R360" s="4" t="s">
        <v>62</v>
      </c>
      <c r="S360" s="4" t="s">
        <v>29</v>
      </c>
    </row>
    <row r="361" spans="1:19" x14ac:dyDescent="0.3">
      <c r="A361" s="4" t="s">
        <v>464</v>
      </c>
      <c r="B361" s="4" t="s">
        <v>47</v>
      </c>
      <c r="C361" s="26" t="s">
        <v>465</v>
      </c>
      <c r="D361" s="14">
        <v>45919</v>
      </c>
      <c r="F361" s="17" t="str">
        <f t="shared" si="5"/>
        <v>Sep-2025</v>
      </c>
      <c r="G361" s="2">
        <v>23052.04</v>
      </c>
      <c r="H361" s="26" t="s">
        <v>52</v>
      </c>
      <c r="I361" s="32">
        <v>0</v>
      </c>
      <c r="J361" s="2">
        <v>0</v>
      </c>
      <c r="K361" s="4" t="s">
        <v>165</v>
      </c>
      <c r="L361" s="4" t="s">
        <v>66</v>
      </c>
      <c r="M361" s="4" t="s">
        <v>39</v>
      </c>
      <c r="N361" s="5" t="s">
        <v>942</v>
      </c>
      <c r="O361" s="4" t="s">
        <v>111</v>
      </c>
      <c r="P361" s="6">
        <f>IF(Table3[[#This Row],[Payment Status]]="Overdue",1,0)</f>
        <v>0</v>
      </c>
      <c r="Q361" s="11"/>
      <c r="R361" s="4" t="s">
        <v>36</v>
      </c>
      <c r="S361" s="4" t="s">
        <v>67</v>
      </c>
    </row>
    <row r="362" spans="1:19" x14ac:dyDescent="0.3">
      <c r="A362" s="4" t="s">
        <v>310</v>
      </c>
      <c r="B362" s="4" t="s">
        <v>311</v>
      </c>
      <c r="C362" s="27"/>
      <c r="D362" s="14">
        <v>45376</v>
      </c>
      <c r="E362" s="14">
        <v>45776</v>
      </c>
      <c r="F362" s="17" t="str">
        <f t="shared" si="5"/>
        <v>Mar-2024</v>
      </c>
      <c r="G362" s="2">
        <v>56106.94</v>
      </c>
      <c r="H362" s="26" t="s">
        <v>52</v>
      </c>
      <c r="I362" s="32">
        <v>0</v>
      </c>
      <c r="J362" s="2">
        <v>0</v>
      </c>
      <c r="K362" s="4" t="s">
        <v>143</v>
      </c>
      <c r="L362" s="4" t="s">
        <v>66</v>
      </c>
      <c r="M362" s="4" t="s">
        <v>55</v>
      </c>
      <c r="N362" s="5" t="s">
        <v>942</v>
      </c>
      <c r="O362" s="4" t="s">
        <v>939</v>
      </c>
      <c r="P362" s="6">
        <f>IF(Table3[[#This Row],[Payment Status]]="Overdue",1,0)</f>
        <v>0</v>
      </c>
      <c r="Q362" s="11"/>
      <c r="R362" s="4" t="s">
        <v>40</v>
      </c>
      <c r="S362" s="4" t="s">
        <v>85</v>
      </c>
    </row>
    <row r="363" spans="1:19" x14ac:dyDescent="0.3">
      <c r="A363" s="4" t="s">
        <v>921</v>
      </c>
      <c r="B363" s="4" t="s">
        <v>47</v>
      </c>
      <c r="C363" s="26" t="s">
        <v>577</v>
      </c>
      <c r="D363" s="14">
        <v>45351</v>
      </c>
      <c r="E363" s="14">
        <v>45456</v>
      </c>
      <c r="F363" s="17" t="str">
        <f t="shared" si="5"/>
        <v>Feb-2024</v>
      </c>
      <c r="G363" s="2">
        <v>50094.19</v>
      </c>
      <c r="H363" s="26" t="s">
        <v>52</v>
      </c>
      <c r="I363" s="32">
        <v>28</v>
      </c>
      <c r="J363" s="2">
        <v>14026.37</v>
      </c>
      <c r="K363" s="4" t="s">
        <v>106</v>
      </c>
      <c r="L363" s="4" t="s">
        <v>60</v>
      </c>
      <c r="M363" s="4" t="s">
        <v>19</v>
      </c>
      <c r="N363" s="4" t="s">
        <v>35</v>
      </c>
      <c r="O363" s="4" t="s">
        <v>111</v>
      </c>
      <c r="P363" s="6">
        <f>IF(Table3[[#This Row],[Payment Status]]="Overdue",1,0)</f>
        <v>0</v>
      </c>
      <c r="Q363" s="11"/>
      <c r="R363" s="4" t="s">
        <v>28</v>
      </c>
      <c r="S363" s="4" t="s">
        <v>29</v>
      </c>
    </row>
    <row r="364" spans="1:19" x14ac:dyDescent="0.3">
      <c r="A364" s="4" t="s">
        <v>347</v>
      </c>
      <c r="B364" s="4" t="s">
        <v>50</v>
      </c>
      <c r="C364" s="26" t="s">
        <v>348</v>
      </c>
      <c r="D364" s="14">
        <v>45835</v>
      </c>
      <c r="E364" s="14">
        <v>45908</v>
      </c>
      <c r="F364" s="17" t="str">
        <f t="shared" si="5"/>
        <v>Jun-2025</v>
      </c>
      <c r="G364" s="2">
        <v>17646.14</v>
      </c>
      <c r="H364" s="26" t="s">
        <v>72</v>
      </c>
      <c r="I364" s="32">
        <v>18</v>
      </c>
      <c r="J364" s="2">
        <v>3176.31</v>
      </c>
      <c r="K364" s="4" t="s">
        <v>165</v>
      </c>
      <c r="L364" s="4" t="s">
        <v>60</v>
      </c>
      <c r="M364" s="4" t="s">
        <v>55</v>
      </c>
      <c r="N364" s="5" t="s">
        <v>942</v>
      </c>
      <c r="O364" s="4" t="s">
        <v>111</v>
      </c>
      <c r="P364" s="6">
        <f>IF(Table3[[#This Row],[Payment Status]]="Overdue",1,0)</f>
        <v>0</v>
      </c>
      <c r="Q364" s="11"/>
      <c r="R364" s="4" t="s">
        <v>20</v>
      </c>
      <c r="S364" s="4" t="s">
        <v>29</v>
      </c>
    </row>
    <row r="365" spans="1:19" x14ac:dyDescent="0.3">
      <c r="A365" s="4" t="s">
        <v>922</v>
      </c>
      <c r="B365" s="4" t="s">
        <v>128</v>
      </c>
      <c r="C365" s="26" t="s">
        <v>746</v>
      </c>
      <c r="D365" s="14">
        <v>45696</v>
      </c>
      <c r="E365" s="22"/>
      <c r="F365" s="18" t="str">
        <f t="shared" si="5"/>
        <v>Feb-2025</v>
      </c>
      <c r="G365" s="2">
        <v>73787.820000000007</v>
      </c>
      <c r="H365" s="30" t="s">
        <v>941</v>
      </c>
      <c r="I365" s="32">
        <v>5</v>
      </c>
      <c r="J365" s="2">
        <v>3689.39</v>
      </c>
      <c r="K365" s="4" t="s">
        <v>97</v>
      </c>
      <c r="L365" s="4" t="s">
        <v>70</v>
      </c>
      <c r="M365" s="4" t="s">
        <v>19</v>
      </c>
      <c r="N365" s="4" t="s">
        <v>26</v>
      </c>
      <c r="O365" s="4" t="s">
        <v>27</v>
      </c>
      <c r="P365" s="6">
        <f>IF(Table3[[#This Row],[Payment Status]]="Overdue",1,0)</f>
        <v>0</v>
      </c>
      <c r="Q365" s="11"/>
      <c r="R365" s="4" t="s">
        <v>20</v>
      </c>
      <c r="S365" s="4" t="s">
        <v>29</v>
      </c>
    </row>
    <row r="366" spans="1:19" x14ac:dyDescent="0.3">
      <c r="A366" s="4" t="s">
        <v>668</v>
      </c>
      <c r="B366" s="4" t="s">
        <v>923</v>
      </c>
      <c r="C366" s="26" t="s">
        <v>669</v>
      </c>
      <c r="D366" s="14">
        <v>45366</v>
      </c>
      <c r="E366" s="14">
        <v>45378</v>
      </c>
      <c r="F366" s="17" t="str">
        <f t="shared" si="5"/>
        <v>Mar-2024</v>
      </c>
      <c r="G366" s="2">
        <v>12930.11</v>
      </c>
      <c r="H366" s="26" t="s">
        <v>18</v>
      </c>
      <c r="I366" s="32">
        <v>0</v>
      </c>
      <c r="J366" s="2">
        <v>0</v>
      </c>
      <c r="K366" s="4" t="s">
        <v>165</v>
      </c>
      <c r="L366" s="4" t="s">
        <v>98</v>
      </c>
      <c r="M366" s="4" t="s">
        <v>25</v>
      </c>
      <c r="N366" s="5" t="s">
        <v>942</v>
      </c>
      <c r="O366" s="4" t="s">
        <v>92</v>
      </c>
      <c r="P366" s="6">
        <f>IF(Table3[[#This Row],[Payment Status]]="Overdue",1,0)</f>
        <v>1</v>
      </c>
      <c r="Q366" s="11"/>
      <c r="R366" s="4" t="s">
        <v>28</v>
      </c>
      <c r="S366" s="4" t="s">
        <v>88</v>
      </c>
    </row>
    <row r="367" spans="1:19" x14ac:dyDescent="0.3">
      <c r="A367" s="4" t="s">
        <v>302</v>
      </c>
      <c r="B367" s="4" t="s">
        <v>31</v>
      </c>
      <c r="C367" s="26" t="s">
        <v>303</v>
      </c>
      <c r="D367" s="14">
        <v>45505</v>
      </c>
      <c r="E367" s="22"/>
      <c r="F367" s="18" t="str">
        <f t="shared" si="5"/>
        <v>Aug-2024</v>
      </c>
      <c r="G367" s="2">
        <v>22735.22</v>
      </c>
      <c r="H367" s="26" t="s">
        <v>18</v>
      </c>
      <c r="I367" s="32">
        <v>18</v>
      </c>
      <c r="J367" s="2">
        <v>4092.34</v>
      </c>
      <c r="K367" s="4" t="s">
        <v>66</v>
      </c>
      <c r="L367" s="4" t="s">
        <v>66</v>
      </c>
      <c r="M367" s="4" t="s">
        <v>19</v>
      </c>
      <c r="N367" s="5" t="s">
        <v>942</v>
      </c>
      <c r="O367" s="4" t="s">
        <v>939</v>
      </c>
      <c r="P367" s="6">
        <f>IF(Table3[[#This Row],[Payment Status]]="Overdue",1,0)</f>
        <v>0</v>
      </c>
      <c r="Q367" s="11"/>
      <c r="R367" s="4" t="s">
        <v>62</v>
      </c>
      <c r="S367" s="4" t="s">
        <v>88</v>
      </c>
    </row>
    <row r="368" spans="1:19" x14ac:dyDescent="0.3">
      <c r="A368" s="4" t="s">
        <v>174</v>
      </c>
      <c r="B368" s="4" t="s">
        <v>311</v>
      </c>
      <c r="C368" s="26" t="s">
        <v>175</v>
      </c>
      <c r="D368" s="14">
        <v>45536</v>
      </c>
      <c r="E368" s="14">
        <v>45896</v>
      </c>
      <c r="F368" s="17" t="str">
        <f t="shared" si="5"/>
        <v>Sep-2024</v>
      </c>
      <c r="G368" s="2">
        <v>14289.87</v>
      </c>
      <c r="H368" s="26" t="s">
        <v>52</v>
      </c>
      <c r="I368" s="32">
        <v>0</v>
      </c>
      <c r="J368" s="2">
        <v>0</v>
      </c>
      <c r="K368" s="4" t="s">
        <v>97</v>
      </c>
      <c r="L368" s="4" t="s">
        <v>70</v>
      </c>
      <c r="M368" s="4" t="s">
        <v>61</v>
      </c>
      <c r="N368" s="5" t="s">
        <v>942</v>
      </c>
      <c r="O368" s="4" t="s">
        <v>92</v>
      </c>
      <c r="P368" s="6">
        <f>IF(Table3[[#This Row],[Payment Status]]="Overdue",1,0)</f>
        <v>1</v>
      </c>
      <c r="Q368" s="11"/>
      <c r="R368" s="4" t="s">
        <v>184</v>
      </c>
      <c r="S368" s="4" t="s">
        <v>29</v>
      </c>
    </row>
    <row r="369" spans="1:19" x14ac:dyDescent="0.3">
      <c r="A369" s="4" t="s">
        <v>504</v>
      </c>
      <c r="B369" s="4" t="s">
        <v>102</v>
      </c>
      <c r="C369" s="26" t="s">
        <v>505</v>
      </c>
      <c r="D369" s="14">
        <v>45376</v>
      </c>
      <c r="E369" s="14">
        <v>45463</v>
      </c>
      <c r="F369" s="17" t="str">
        <f t="shared" si="5"/>
        <v>Mar-2024</v>
      </c>
      <c r="G369" s="2">
        <v>8634.36</v>
      </c>
      <c r="H369" s="26" t="s">
        <v>18</v>
      </c>
      <c r="I369" s="32">
        <v>18</v>
      </c>
      <c r="J369" s="2">
        <v>1554.18</v>
      </c>
      <c r="K369" s="4" t="s">
        <v>106</v>
      </c>
      <c r="L369" s="4" t="s">
        <v>940</v>
      </c>
      <c r="M369" s="4" t="s">
        <v>55</v>
      </c>
      <c r="N369" s="5" t="s">
        <v>942</v>
      </c>
      <c r="O369" s="4" t="s">
        <v>111</v>
      </c>
      <c r="P369" s="6">
        <f>IF(Table3[[#This Row],[Payment Status]]="Overdue",1,0)</f>
        <v>0</v>
      </c>
      <c r="Q369" s="11"/>
      <c r="R369" s="4" t="s">
        <v>941</v>
      </c>
      <c r="S369" s="4" t="s">
        <v>67</v>
      </c>
    </row>
    <row r="370" spans="1:19" x14ac:dyDescent="0.3">
      <c r="A370" s="4" t="s">
        <v>321</v>
      </c>
      <c r="B370" s="4" t="s">
        <v>128</v>
      </c>
      <c r="C370" s="26" t="s">
        <v>322</v>
      </c>
      <c r="D370" s="14">
        <v>45801</v>
      </c>
      <c r="F370" s="17" t="str">
        <f t="shared" si="5"/>
        <v>May-2025</v>
      </c>
      <c r="G370" s="2">
        <v>63024.9</v>
      </c>
      <c r="H370" s="26" t="s">
        <v>52</v>
      </c>
      <c r="I370" s="32">
        <v>18</v>
      </c>
      <c r="J370" s="2">
        <v>11344.48</v>
      </c>
      <c r="K370" s="4" t="s">
        <v>44</v>
      </c>
      <c r="L370" s="4" t="s">
        <v>66</v>
      </c>
      <c r="M370" s="4" t="s">
        <v>25</v>
      </c>
      <c r="N370" s="4" t="s">
        <v>100</v>
      </c>
      <c r="O370" s="6" t="s">
        <v>941</v>
      </c>
      <c r="P370" s="6">
        <f>IF(Table3[[#This Row],[Payment Status]]="Overdue",1,0)</f>
        <v>0</v>
      </c>
      <c r="Q370" s="11"/>
      <c r="R370" s="4" t="s">
        <v>62</v>
      </c>
      <c r="S370" s="4" t="s">
        <v>41</v>
      </c>
    </row>
    <row r="371" spans="1:19" x14ac:dyDescent="0.3">
      <c r="A371" s="4" t="s">
        <v>710</v>
      </c>
      <c r="B371" s="4" t="s">
        <v>924</v>
      </c>
      <c r="C371" s="26" t="s">
        <v>711</v>
      </c>
      <c r="D371" s="14">
        <v>45735</v>
      </c>
      <c r="E371" s="14">
        <v>45924</v>
      </c>
      <c r="F371" s="17" t="str">
        <f t="shared" si="5"/>
        <v>Mar-2025</v>
      </c>
      <c r="G371" s="2">
        <v>82297.789999999994</v>
      </c>
      <c r="H371" s="26" t="s">
        <v>18</v>
      </c>
      <c r="I371" s="32">
        <v>18</v>
      </c>
      <c r="J371" s="2">
        <v>14813.6</v>
      </c>
      <c r="K371" s="4" t="s">
        <v>44</v>
      </c>
      <c r="L371" s="4" t="s">
        <v>70</v>
      </c>
      <c r="M371" s="4" t="s">
        <v>39</v>
      </c>
      <c r="N371" s="4" t="s">
        <v>35</v>
      </c>
      <c r="O371" s="4" t="s">
        <v>939</v>
      </c>
      <c r="P371" s="6">
        <f>IF(Table3[[#This Row],[Payment Status]]="Overdue",1,0)</f>
        <v>0</v>
      </c>
      <c r="Q371" s="11"/>
      <c r="R371" s="4" t="s">
        <v>20</v>
      </c>
      <c r="S371" s="4" t="s">
        <v>29</v>
      </c>
    </row>
    <row r="372" spans="1:19" x14ac:dyDescent="0.3">
      <c r="A372" s="4" t="s">
        <v>222</v>
      </c>
      <c r="B372" s="4" t="s">
        <v>206</v>
      </c>
      <c r="C372" s="26" t="s">
        <v>223</v>
      </c>
      <c r="D372" s="14">
        <v>45292</v>
      </c>
      <c r="E372" s="14">
        <v>45719</v>
      </c>
      <c r="F372" s="17" t="str">
        <f t="shared" si="5"/>
        <v>Jan-2024</v>
      </c>
      <c r="G372" s="2">
        <v>29866.02</v>
      </c>
      <c r="H372" s="26" t="s">
        <v>52</v>
      </c>
      <c r="I372" s="32">
        <v>18</v>
      </c>
      <c r="J372" s="2">
        <v>5375.88</v>
      </c>
      <c r="K372" s="4" t="s">
        <v>143</v>
      </c>
      <c r="L372" s="4" t="s">
        <v>34</v>
      </c>
      <c r="M372" s="4" t="s">
        <v>25</v>
      </c>
      <c r="N372" s="4" t="s">
        <v>117</v>
      </c>
      <c r="O372" s="4" t="s">
        <v>939</v>
      </c>
      <c r="P372" s="6">
        <f>IF(Table3[[#This Row],[Payment Status]]="Overdue",1,0)</f>
        <v>0</v>
      </c>
      <c r="Q372" s="11"/>
      <c r="R372" s="4" t="s">
        <v>20</v>
      </c>
      <c r="S372" s="4" t="s">
        <v>41</v>
      </c>
    </row>
    <row r="373" spans="1:19" x14ac:dyDescent="0.3">
      <c r="A373" s="4" t="s">
        <v>461</v>
      </c>
      <c r="B373" s="4" t="s">
        <v>311</v>
      </c>
      <c r="C373" s="26" t="s">
        <v>462</v>
      </c>
      <c r="D373" s="14">
        <v>45491</v>
      </c>
      <c r="E373" s="14">
        <v>45610</v>
      </c>
      <c r="F373" s="17" t="str">
        <f t="shared" si="5"/>
        <v>Jul-2024</v>
      </c>
      <c r="G373" s="2">
        <v>57756.63</v>
      </c>
      <c r="H373" s="30" t="s">
        <v>941</v>
      </c>
      <c r="I373" s="32">
        <v>18</v>
      </c>
      <c r="J373" s="2">
        <v>10396.19</v>
      </c>
      <c r="K373" s="5" t="s">
        <v>66</v>
      </c>
      <c r="L373" s="4" t="s">
        <v>45</v>
      </c>
      <c r="M373" s="4" t="s">
        <v>39</v>
      </c>
      <c r="N373" s="4" t="s">
        <v>91</v>
      </c>
      <c r="O373" s="4" t="s">
        <v>126</v>
      </c>
      <c r="P373" s="6">
        <f>IF(Table3[[#This Row],[Payment Status]]="Overdue",1,0)</f>
        <v>0</v>
      </c>
      <c r="Q373" s="10">
        <v>45671</v>
      </c>
      <c r="R373" s="4" t="s">
        <v>184</v>
      </c>
      <c r="S373" s="4" t="s">
        <v>63</v>
      </c>
    </row>
    <row r="374" spans="1:19" x14ac:dyDescent="0.3">
      <c r="A374" s="4" t="s">
        <v>890</v>
      </c>
      <c r="B374" s="4" t="s">
        <v>153</v>
      </c>
      <c r="C374" s="26" t="s">
        <v>891</v>
      </c>
      <c r="D374" s="14">
        <v>45453</v>
      </c>
      <c r="E374" s="14">
        <v>45864</v>
      </c>
      <c r="F374" s="17" t="str">
        <f t="shared" si="5"/>
        <v>Jun-2024</v>
      </c>
      <c r="G374" s="2">
        <v>7653.2</v>
      </c>
      <c r="H374" s="26" t="s">
        <v>72</v>
      </c>
      <c r="I374" s="32">
        <v>28</v>
      </c>
      <c r="J374" s="2">
        <v>2142.9</v>
      </c>
      <c r="K374" s="4" t="s">
        <v>66</v>
      </c>
      <c r="L374" s="4" t="s">
        <v>24</v>
      </c>
      <c r="M374" s="4" t="s">
        <v>19</v>
      </c>
      <c r="N374" s="4" t="s">
        <v>80</v>
      </c>
      <c r="O374" s="4" t="s">
        <v>92</v>
      </c>
      <c r="P374" s="6">
        <f>IF(Table3[[#This Row],[Payment Status]]="Overdue",1,0)</f>
        <v>1</v>
      </c>
      <c r="Q374" s="11"/>
      <c r="R374" s="4" t="s">
        <v>941</v>
      </c>
      <c r="S374" s="4" t="s">
        <v>67</v>
      </c>
    </row>
    <row r="375" spans="1:19" x14ac:dyDescent="0.3">
      <c r="A375" s="4" t="s">
        <v>617</v>
      </c>
      <c r="B375" s="4" t="s">
        <v>923</v>
      </c>
      <c r="C375" s="26" t="s">
        <v>618</v>
      </c>
      <c r="D375" s="14">
        <v>45631</v>
      </c>
      <c r="E375" s="14">
        <v>45900</v>
      </c>
      <c r="F375" s="17" t="str">
        <f t="shared" si="5"/>
        <v>Dec-2024</v>
      </c>
      <c r="G375" s="2">
        <v>48127.87</v>
      </c>
      <c r="H375" s="30" t="s">
        <v>941</v>
      </c>
      <c r="I375" s="32">
        <v>0</v>
      </c>
      <c r="J375" s="2">
        <v>0</v>
      </c>
      <c r="K375" s="4" t="s">
        <v>53</v>
      </c>
      <c r="L375" s="4" t="s">
        <v>54</v>
      </c>
      <c r="M375" s="4" t="s">
        <v>19</v>
      </c>
      <c r="N375" s="5" t="s">
        <v>942</v>
      </c>
      <c r="O375" s="4" t="s">
        <v>939</v>
      </c>
      <c r="P375" s="6">
        <f>IF(Table3[[#This Row],[Payment Status]]="Overdue",1,0)</f>
        <v>0</v>
      </c>
      <c r="Q375" s="11"/>
      <c r="R375" s="4" t="s">
        <v>941</v>
      </c>
      <c r="S375" s="4" t="s">
        <v>63</v>
      </c>
    </row>
    <row r="376" spans="1:19" x14ac:dyDescent="0.3">
      <c r="A376" s="4" t="s">
        <v>657</v>
      </c>
      <c r="B376" s="4" t="s">
        <v>923</v>
      </c>
      <c r="C376" s="26" t="s">
        <v>658</v>
      </c>
      <c r="D376" s="14">
        <v>45718</v>
      </c>
      <c r="E376" s="22"/>
      <c r="F376" s="18" t="str">
        <f t="shared" si="5"/>
        <v>Mar-2025</v>
      </c>
      <c r="G376" s="2">
        <v>44256.94</v>
      </c>
      <c r="H376" s="26" t="s">
        <v>18</v>
      </c>
      <c r="I376" s="32">
        <v>28</v>
      </c>
      <c r="J376" s="2">
        <v>12391.94</v>
      </c>
      <c r="K376" s="4" t="s">
        <v>53</v>
      </c>
      <c r="L376" s="4" t="s">
        <v>98</v>
      </c>
      <c r="M376" s="4" t="s">
        <v>61</v>
      </c>
      <c r="N376" s="5" t="s">
        <v>942</v>
      </c>
      <c r="O376" s="6" t="s">
        <v>941</v>
      </c>
      <c r="P376" s="6">
        <f>IF(Table3[[#This Row],[Payment Status]]="Overdue",1,0)</f>
        <v>0</v>
      </c>
      <c r="Q376" s="11"/>
      <c r="R376" s="4" t="s">
        <v>184</v>
      </c>
      <c r="S376" s="5" t="s">
        <v>941</v>
      </c>
    </row>
    <row r="377" spans="1:19" x14ac:dyDescent="0.3">
      <c r="A377" s="4" t="s">
        <v>407</v>
      </c>
      <c r="B377" s="4" t="s">
        <v>630</v>
      </c>
      <c r="C377" s="26" t="s">
        <v>408</v>
      </c>
      <c r="D377" s="14">
        <v>45356</v>
      </c>
      <c r="E377" s="22"/>
      <c r="F377" s="18" t="str">
        <f t="shared" si="5"/>
        <v>Mar-2024</v>
      </c>
      <c r="G377" s="2">
        <v>24759.57</v>
      </c>
      <c r="H377" s="26" t="s">
        <v>52</v>
      </c>
      <c r="I377" s="32">
        <v>18</v>
      </c>
      <c r="J377" s="2">
        <v>4456.72</v>
      </c>
      <c r="K377" s="4" t="s">
        <v>165</v>
      </c>
      <c r="L377" s="4" t="s">
        <v>34</v>
      </c>
      <c r="M377" s="4" t="s">
        <v>19</v>
      </c>
      <c r="N377" s="4" t="s">
        <v>80</v>
      </c>
      <c r="O377" s="4" t="s">
        <v>939</v>
      </c>
      <c r="P377" s="6">
        <f>IF(Table3[[#This Row],[Payment Status]]="Overdue",1,0)</f>
        <v>0</v>
      </c>
      <c r="Q377" s="11"/>
      <c r="R377" s="4" t="s">
        <v>184</v>
      </c>
      <c r="S377" s="5" t="s">
        <v>941</v>
      </c>
    </row>
    <row r="378" spans="1:19" x14ac:dyDescent="0.3">
      <c r="A378" s="4" t="s">
        <v>201</v>
      </c>
      <c r="B378" s="4" t="s">
        <v>197</v>
      </c>
      <c r="C378" s="26" t="s">
        <v>202</v>
      </c>
      <c r="D378" s="14">
        <v>45434</v>
      </c>
      <c r="E378" s="14">
        <v>45486</v>
      </c>
      <c r="F378" s="17" t="str">
        <f t="shared" si="5"/>
        <v>May-2024</v>
      </c>
      <c r="G378" s="2">
        <v>23645.31</v>
      </c>
      <c r="H378" s="26" t="s">
        <v>72</v>
      </c>
      <c r="I378" s="32">
        <v>28</v>
      </c>
      <c r="J378" s="2">
        <v>6620.69</v>
      </c>
      <c r="K378" s="4" t="s">
        <v>53</v>
      </c>
      <c r="L378" s="4" t="s">
        <v>70</v>
      </c>
      <c r="M378" s="4" t="s">
        <v>941</v>
      </c>
      <c r="N378" s="4" t="s">
        <v>100</v>
      </c>
      <c r="O378" s="4" t="s">
        <v>27</v>
      </c>
      <c r="P378" s="6">
        <f>IF(Table3[[#This Row],[Payment Status]]="Overdue",1,0)</f>
        <v>0</v>
      </c>
      <c r="Q378" s="11"/>
      <c r="R378" s="4" t="s">
        <v>40</v>
      </c>
      <c r="S378" s="4" t="s">
        <v>67</v>
      </c>
    </row>
    <row r="379" spans="1:19" x14ac:dyDescent="0.3">
      <c r="A379" s="4" t="s">
        <v>218</v>
      </c>
      <c r="B379" s="4" t="s">
        <v>121</v>
      </c>
      <c r="C379" s="26" t="s">
        <v>219</v>
      </c>
      <c r="D379" s="14">
        <v>45746</v>
      </c>
      <c r="E379" s="14">
        <v>45775</v>
      </c>
      <c r="F379" s="17" t="str">
        <f t="shared" si="5"/>
        <v>Mar-2025</v>
      </c>
      <c r="G379" s="2">
        <v>49026.91</v>
      </c>
      <c r="H379" s="26" t="s">
        <v>52</v>
      </c>
      <c r="I379" s="32">
        <v>18</v>
      </c>
      <c r="J379" s="2">
        <v>8824.84</v>
      </c>
      <c r="K379" s="4" t="s">
        <v>33</v>
      </c>
      <c r="L379" s="4" t="s">
        <v>34</v>
      </c>
      <c r="M379" s="4" t="s">
        <v>19</v>
      </c>
      <c r="N379" s="4" t="s">
        <v>26</v>
      </c>
      <c r="O379" s="4" t="s">
        <v>126</v>
      </c>
      <c r="P379" s="6">
        <f>IF(Table3[[#This Row],[Payment Status]]="Overdue",1,0)</f>
        <v>0</v>
      </c>
      <c r="Q379" s="10">
        <v>45843</v>
      </c>
      <c r="R379" s="4" t="s">
        <v>28</v>
      </c>
      <c r="S379" s="4" t="s">
        <v>63</v>
      </c>
    </row>
    <row r="380" spans="1:19" x14ac:dyDescent="0.3">
      <c r="A380" s="4" t="s">
        <v>906</v>
      </c>
      <c r="B380" s="4" t="s">
        <v>190</v>
      </c>
      <c r="C380" s="26" t="s">
        <v>907</v>
      </c>
      <c r="D380" s="14">
        <v>45722</v>
      </c>
      <c r="E380" s="14">
        <v>45832</v>
      </c>
      <c r="F380" s="17" t="str">
        <f t="shared" si="5"/>
        <v>Mar-2025</v>
      </c>
      <c r="G380" s="2">
        <v>52070.02</v>
      </c>
      <c r="H380" s="30" t="s">
        <v>941</v>
      </c>
      <c r="I380" s="32">
        <v>0</v>
      </c>
      <c r="J380" s="2">
        <v>0</v>
      </c>
      <c r="K380" s="4" t="s">
        <v>230</v>
      </c>
      <c r="L380" s="4" t="s">
        <v>60</v>
      </c>
      <c r="M380" s="4" t="s">
        <v>55</v>
      </c>
      <c r="N380" s="5" t="s">
        <v>942</v>
      </c>
      <c r="O380" s="4" t="s">
        <v>126</v>
      </c>
      <c r="P380" s="6">
        <f>IF(Table3[[#This Row],[Payment Status]]="Overdue",1,0)</f>
        <v>0</v>
      </c>
      <c r="Q380" s="10">
        <v>45759</v>
      </c>
      <c r="R380" s="4" t="s">
        <v>941</v>
      </c>
      <c r="S380" s="4" t="s">
        <v>85</v>
      </c>
    </row>
    <row r="381" spans="1:19" x14ac:dyDescent="0.3">
      <c r="A381" s="4" t="s">
        <v>490</v>
      </c>
      <c r="B381" s="4" t="s">
        <v>22</v>
      </c>
      <c r="C381" s="26" t="s">
        <v>491</v>
      </c>
      <c r="D381" s="14">
        <v>45316</v>
      </c>
      <c r="E381" s="14">
        <v>45706</v>
      </c>
      <c r="F381" s="17" t="str">
        <f t="shared" si="5"/>
        <v>Jan-2024</v>
      </c>
      <c r="G381" s="2">
        <v>17420.34</v>
      </c>
      <c r="H381" s="26" t="s">
        <v>18</v>
      </c>
      <c r="I381" s="32">
        <v>12</v>
      </c>
      <c r="J381" s="2">
        <v>2090.44</v>
      </c>
      <c r="K381" s="4" t="s">
        <v>44</v>
      </c>
      <c r="L381" s="4" t="s">
        <v>66</v>
      </c>
      <c r="M381" s="4" t="s">
        <v>25</v>
      </c>
      <c r="N381" s="5" t="s">
        <v>942</v>
      </c>
      <c r="O381" s="4" t="s">
        <v>25</v>
      </c>
      <c r="P381" s="6">
        <f>IF(Table3[[#This Row],[Payment Status]]="Overdue",1,0)</f>
        <v>0</v>
      </c>
      <c r="Q381" s="11"/>
      <c r="R381" s="4" t="s">
        <v>184</v>
      </c>
      <c r="S381" s="4" t="s">
        <v>41</v>
      </c>
    </row>
    <row r="382" spans="1:19" x14ac:dyDescent="0.3">
      <c r="A382" s="4" t="s">
        <v>632</v>
      </c>
      <c r="B382" s="4" t="s">
        <v>22</v>
      </c>
      <c r="C382" s="27"/>
      <c r="D382" s="14">
        <v>45372</v>
      </c>
      <c r="E382" s="14">
        <v>45738</v>
      </c>
      <c r="F382" s="17" t="str">
        <f t="shared" si="5"/>
        <v>Mar-2024</v>
      </c>
      <c r="G382" s="2">
        <v>25454.560000000001</v>
      </c>
      <c r="H382" s="26" t="s">
        <v>52</v>
      </c>
      <c r="I382" s="32">
        <v>18</v>
      </c>
      <c r="J382" s="2">
        <v>4581.82</v>
      </c>
      <c r="K382" s="4" t="s">
        <v>165</v>
      </c>
      <c r="L382" s="4" t="s">
        <v>940</v>
      </c>
      <c r="M382" s="4" t="s">
        <v>19</v>
      </c>
      <c r="N382" s="5" t="s">
        <v>942</v>
      </c>
      <c r="O382" s="4" t="s">
        <v>939</v>
      </c>
      <c r="P382" s="6">
        <f>IF(Table3[[#This Row],[Payment Status]]="Overdue",1,0)</f>
        <v>0</v>
      </c>
      <c r="Q382" s="11"/>
      <c r="R382" s="4" t="s">
        <v>20</v>
      </c>
      <c r="S382" s="5" t="s">
        <v>941</v>
      </c>
    </row>
    <row r="383" spans="1:19" x14ac:dyDescent="0.3">
      <c r="A383" s="4" t="s">
        <v>237</v>
      </c>
      <c r="B383" s="4" t="s">
        <v>923</v>
      </c>
      <c r="C383" s="26" t="s">
        <v>238</v>
      </c>
      <c r="D383" s="14">
        <v>45740</v>
      </c>
      <c r="E383" s="14">
        <v>45774</v>
      </c>
      <c r="F383" s="17" t="str">
        <f t="shared" si="5"/>
        <v>Mar-2025</v>
      </c>
      <c r="G383" s="2">
        <v>55576.74</v>
      </c>
      <c r="H383" s="26" t="s">
        <v>18</v>
      </c>
      <c r="I383" s="32">
        <v>5</v>
      </c>
      <c r="J383" s="2">
        <v>2778.84</v>
      </c>
      <c r="K383" s="4" t="s">
        <v>230</v>
      </c>
      <c r="L383" s="4" t="s">
        <v>24</v>
      </c>
      <c r="M383" s="4" t="s">
        <v>39</v>
      </c>
      <c r="N383" s="5" t="s">
        <v>942</v>
      </c>
      <c r="O383" s="4" t="s">
        <v>126</v>
      </c>
      <c r="P383" s="6">
        <f>IF(Table3[[#This Row],[Payment Status]]="Overdue",1,0)</f>
        <v>0</v>
      </c>
      <c r="Q383" s="10">
        <v>45788</v>
      </c>
      <c r="R383" s="4" t="s">
        <v>40</v>
      </c>
      <c r="S383" s="4" t="s">
        <v>29</v>
      </c>
    </row>
    <row r="384" spans="1:19" x14ac:dyDescent="0.3">
      <c r="A384" s="4" t="s">
        <v>569</v>
      </c>
      <c r="B384" s="4" t="s">
        <v>197</v>
      </c>
      <c r="C384" s="27"/>
      <c r="D384" s="14">
        <v>45328</v>
      </c>
      <c r="E384" s="14">
        <v>45587</v>
      </c>
      <c r="F384" s="17" t="str">
        <f t="shared" si="5"/>
        <v>Feb-2024</v>
      </c>
      <c r="G384" s="2">
        <v>55331.09</v>
      </c>
      <c r="H384" s="30" t="s">
        <v>941</v>
      </c>
      <c r="I384" s="32">
        <v>0</v>
      </c>
      <c r="J384" s="2">
        <v>0</v>
      </c>
      <c r="K384" s="4" t="s">
        <v>165</v>
      </c>
      <c r="L384" s="4" t="s">
        <v>24</v>
      </c>
      <c r="M384" s="4" t="s">
        <v>19</v>
      </c>
      <c r="N384" s="4" t="s">
        <v>56</v>
      </c>
      <c r="O384" s="4" t="s">
        <v>92</v>
      </c>
      <c r="P384" s="6">
        <f>IF(Table3[[#This Row],[Payment Status]]="Overdue",1,0)</f>
        <v>1</v>
      </c>
      <c r="Q384" s="11"/>
      <c r="R384" s="4" t="s">
        <v>184</v>
      </c>
      <c r="S384" s="4" t="s">
        <v>41</v>
      </c>
    </row>
    <row r="385" spans="1:19" x14ac:dyDescent="0.3">
      <c r="A385" s="4" t="s">
        <v>755</v>
      </c>
      <c r="B385" s="4" t="s">
        <v>923</v>
      </c>
      <c r="C385" s="26" t="s">
        <v>756</v>
      </c>
      <c r="D385" s="14">
        <v>45331</v>
      </c>
      <c r="E385" s="14">
        <v>45370</v>
      </c>
      <c r="F385" s="17" t="str">
        <f t="shared" si="5"/>
        <v>Feb-2024</v>
      </c>
      <c r="G385" s="2">
        <v>17617.3</v>
      </c>
      <c r="H385" s="26" t="s">
        <v>18</v>
      </c>
      <c r="I385" s="32">
        <v>28</v>
      </c>
      <c r="J385" s="2">
        <v>4932.84</v>
      </c>
      <c r="K385" s="4" t="s">
        <v>143</v>
      </c>
      <c r="L385" s="4" t="s">
        <v>54</v>
      </c>
      <c r="M385" s="4" t="s">
        <v>55</v>
      </c>
      <c r="N385" s="5" t="s">
        <v>942</v>
      </c>
      <c r="O385" s="4" t="s">
        <v>27</v>
      </c>
      <c r="P385" s="6">
        <f>IF(Table3[[#This Row],[Payment Status]]="Overdue",1,0)</f>
        <v>0</v>
      </c>
      <c r="R385" s="4" t="s">
        <v>57</v>
      </c>
      <c r="S385" s="4" t="s">
        <v>63</v>
      </c>
    </row>
    <row r="386" spans="1:19" x14ac:dyDescent="0.3">
      <c r="A386" s="4" t="s">
        <v>670</v>
      </c>
      <c r="B386" s="4" t="s">
        <v>137</v>
      </c>
      <c r="C386" s="26" t="s">
        <v>934</v>
      </c>
      <c r="D386" s="14">
        <v>45412</v>
      </c>
      <c r="E386" s="14">
        <v>45417</v>
      </c>
      <c r="F386" s="17" t="str">
        <f t="shared" ref="F386:F444" si="6">TEXT(D386,"mmm-yyyy")</f>
        <v>Apr-2024</v>
      </c>
      <c r="G386" s="2">
        <v>3193.37</v>
      </c>
      <c r="H386" s="26" t="s">
        <v>18</v>
      </c>
      <c r="I386" s="32">
        <v>28</v>
      </c>
      <c r="J386" s="2">
        <v>894.14</v>
      </c>
      <c r="K386" s="4" t="s">
        <v>33</v>
      </c>
      <c r="L386" s="4" t="s">
        <v>34</v>
      </c>
      <c r="M386" s="4" t="s">
        <v>19</v>
      </c>
      <c r="N386" s="5" t="s">
        <v>942</v>
      </c>
      <c r="O386" s="4" t="s">
        <v>126</v>
      </c>
      <c r="P386" s="6">
        <f>IF(Table3[[#This Row],[Payment Status]]="Overdue",1,0)</f>
        <v>0</v>
      </c>
      <c r="Q386" s="10">
        <v>45470</v>
      </c>
      <c r="R386" s="4" t="s">
        <v>62</v>
      </c>
      <c r="S386" s="4" t="s">
        <v>41</v>
      </c>
    </row>
    <row r="387" spans="1:19" x14ac:dyDescent="0.3">
      <c r="A387" s="4" t="s">
        <v>903</v>
      </c>
      <c r="B387" s="4" t="s">
        <v>197</v>
      </c>
      <c r="C387" s="26" t="s">
        <v>935</v>
      </c>
      <c r="D387" s="14">
        <v>45453</v>
      </c>
      <c r="E387" s="14">
        <v>45648</v>
      </c>
      <c r="F387" s="17" t="str">
        <f t="shared" si="6"/>
        <v>Jun-2024</v>
      </c>
      <c r="G387" s="2">
        <v>64167.46</v>
      </c>
      <c r="H387" s="26" t="s">
        <v>52</v>
      </c>
      <c r="I387" s="32">
        <v>12</v>
      </c>
      <c r="J387" s="2">
        <v>7700.1</v>
      </c>
      <c r="K387" s="4" t="s">
        <v>165</v>
      </c>
      <c r="L387" s="4" t="s">
        <v>24</v>
      </c>
      <c r="M387" s="4" t="s">
        <v>39</v>
      </c>
      <c r="N387" s="4" t="s">
        <v>35</v>
      </c>
      <c r="O387" s="4" t="s">
        <v>92</v>
      </c>
      <c r="P387" s="6">
        <f>IF(Table3[[#This Row],[Payment Status]]="Overdue",1,0)</f>
        <v>1</v>
      </c>
      <c r="Q387" s="11"/>
      <c r="R387" s="4" t="s">
        <v>941</v>
      </c>
      <c r="S387" s="4" t="s">
        <v>85</v>
      </c>
    </row>
    <row r="388" spans="1:19" x14ac:dyDescent="0.3">
      <c r="A388" s="4" t="s">
        <v>831</v>
      </c>
      <c r="B388" s="4" t="s">
        <v>31</v>
      </c>
      <c r="C388" s="26" t="s">
        <v>832</v>
      </c>
      <c r="D388" s="22"/>
      <c r="E388" s="24"/>
      <c r="F388" s="17" t="str">
        <f t="shared" si="6"/>
        <v>Jan-1900</v>
      </c>
      <c r="G388" s="2">
        <v>7407.8</v>
      </c>
      <c r="H388" s="26" t="s">
        <v>52</v>
      </c>
      <c r="I388" s="32">
        <v>12</v>
      </c>
      <c r="J388" s="2">
        <v>888.94</v>
      </c>
      <c r="K388" s="4" t="s">
        <v>33</v>
      </c>
      <c r="L388" s="4" t="s">
        <v>24</v>
      </c>
      <c r="M388" s="4" t="s">
        <v>25</v>
      </c>
      <c r="N388" s="4" t="s">
        <v>100</v>
      </c>
      <c r="O388" s="4" t="s">
        <v>25</v>
      </c>
      <c r="P388" s="6">
        <f>IF(Table3[[#This Row],[Payment Status]]="Overdue",1,0)</f>
        <v>0</v>
      </c>
      <c r="Q388" s="11"/>
      <c r="R388" s="4" t="s">
        <v>941</v>
      </c>
      <c r="S388" s="4" t="s">
        <v>88</v>
      </c>
    </row>
    <row r="389" spans="1:19" x14ac:dyDescent="0.3">
      <c r="A389" s="4" t="s">
        <v>818</v>
      </c>
      <c r="B389" s="4" t="s">
        <v>206</v>
      </c>
      <c r="C389" s="26" t="s">
        <v>819</v>
      </c>
      <c r="D389" s="14">
        <v>45861</v>
      </c>
      <c r="E389" s="24"/>
      <c r="F389" s="17" t="str">
        <f t="shared" si="6"/>
        <v>Jul-2025</v>
      </c>
      <c r="G389" s="2">
        <v>49326.54</v>
      </c>
      <c r="H389" s="26" t="s">
        <v>52</v>
      </c>
      <c r="I389" s="32">
        <v>18</v>
      </c>
      <c r="J389" s="2">
        <v>8878.7800000000007</v>
      </c>
      <c r="K389" s="4" t="s">
        <v>66</v>
      </c>
      <c r="L389" s="4" t="s">
        <v>66</v>
      </c>
      <c r="M389" s="4" t="s">
        <v>25</v>
      </c>
      <c r="N389" s="4" t="s">
        <v>56</v>
      </c>
      <c r="O389" s="6" t="s">
        <v>941</v>
      </c>
      <c r="P389" s="6">
        <f>IF(Table3[[#This Row],[Payment Status]]="Overdue",1,0)</f>
        <v>0</v>
      </c>
      <c r="Q389" s="11"/>
      <c r="R389" s="4" t="s">
        <v>28</v>
      </c>
      <c r="S389" s="5" t="s">
        <v>941</v>
      </c>
    </row>
    <row r="390" spans="1:19" x14ac:dyDescent="0.3">
      <c r="A390" s="4" t="s">
        <v>804</v>
      </c>
      <c r="B390" s="4" t="s">
        <v>197</v>
      </c>
      <c r="C390" s="26" t="s">
        <v>805</v>
      </c>
      <c r="D390" s="14">
        <v>45525</v>
      </c>
      <c r="E390" s="24"/>
      <c r="F390" s="17" t="str">
        <f t="shared" si="6"/>
        <v>Aug-2024</v>
      </c>
      <c r="G390" s="2">
        <v>82902.710000000006</v>
      </c>
      <c r="H390" s="26" t="s">
        <v>52</v>
      </c>
      <c r="I390" s="32">
        <v>28</v>
      </c>
      <c r="J390" s="2">
        <v>23212.76</v>
      </c>
      <c r="K390" s="4" t="s">
        <v>44</v>
      </c>
      <c r="L390" s="4" t="s">
        <v>66</v>
      </c>
      <c r="M390" s="4" t="s">
        <v>39</v>
      </c>
      <c r="N390" s="4" t="s">
        <v>26</v>
      </c>
      <c r="O390" s="4" t="s">
        <v>126</v>
      </c>
      <c r="P390" s="6">
        <f>IF(Table3[[#This Row],[Payment Status]]="Overdue",1,0)</f>
        <v>0</v>
      </c>
      <c r="Q390" s="10">
        <v>45583</v>
      </c>
      <c r="R390" s="4" t="s">
        <v>36</v>
      </c>
      <c r="S390" s="4" t="s">
        <v>41</v>
      </c>
    </row>
    <row r="391" spans="1:19" x14ac:dyDescent="0.3">
      <c r="A391" s="4" t="s">
        <v>150</v>
      </c>
      <c r="B391" s="4" t="s">
        <v>206</v>
      </c>
      <c r="C391" s="26" t="s">
        <v>151</v>
      </c>
      <c r="D391" s="14">
        <v>45593</v>
      </c>
      <c r="E391" s="24"/>
      <c r="F391" s="17" t="str">
        <f t="shared" si="6"/>
        <v>Oct-2024</v>
      </c>
      <c r="G391" s="2">
        <v>31400.42</v>
      </c>
      <c r="H391" s="26" t="s">
        <v>72</v>
      </c>
      <c r="I391" s="32">
        <v>0</v>
      </c>
      <c r="J391" s="2">
        <v>0</v>
      </c>
      <c r="K391" s="4" t="s">
        <v>44</v>
      </c>
      <c r="L391" s="4" t="s">
        <v>45</v>
      </c>
      <c r="M391" s="4" t="s">
        <v>25</v>
      </c>
      <c r="N391" s="4" t="s">
        <v>80</v>
      </c>
      <c r="O391" s="4" t="s">
        <v>92</v>
      </c>
      <c r="P391" s="6">
        <f>IF(Table3[[#This Row],[Payment Status]]="Overdue",1,0)</f>
        <v>1</v>
      </c>
      <c r="Q391" s="11"/>
      <c r="R391" s="4" t="s">
        <v>40</v>
      </c>
      <c r="S391" s="4" t="s">
        <v>63</v>
      </c>
    </row>
    <row r="392" spans="1:19" x14ac:dyDescent="0.3">
      <c r="A392" s="4" t="s">
        <v>226</v>
      </c>
      <c r="B392" s="4" t="s">
        <v>163</v>
      </c>
      <c r="C392" s="26" t="s">
        <v>227</v>
      </c>
      <c r="D392" s="14">
        <v>45853</v>
      </c>
      <c r="E392" s="24"/>
      <c r="F392" s="17" t="str">
        <f t="shared" si="6"/>
        <v>Jul-2025</v>
      </c>
      <c r="G392" s="2">
        <v>62348.92</v>
      </c>
      <c r="H392" s="26" t="s">
        <v>18</v>
      </c>
      <c r="I392" s="32">
        <v>0</v>
      </c>
      <c r="J392" s="2">
        <v>0</v>
      </c>
      <c r="K392" s="4" t="s">
        <v>33</v>
      </c>
      <c r="L392" s="4" t="s">
        <v>79</v>
      </c>
      <c r="M392" s="4" t="s">
        <v>55</v>
      </c>
      <c r="N392" s="4" t="s">
        <v>26</v>
      </c>
      <c r="O392" s="4" t="s">
        <v>939</v>
      </c>
      <c r="P392" s="6">
        <f>IF(Table3[[#This Row],[Payment Status]]="Overdue",1,0)</f>
        <v>0</v>
      </c>
      <c r="Q392" s="11"/>
      <c r="R392" s="4" t="s">
        <v>62</v>
      </c>
      <c r="S392" s="4" t="s">
        <v>67</v>
      </c>
    </row>
    <row r="393" spans="1:19" x14ac:dyDescent="0.3">
      <c r="A393" s="4" t="s">
        <v>180</v>
      </c>
      <c r="B393" s="4" t="s">
        <v>206</v>
      </c>
      <c r="C393" s="26" t="s">
        <v>181</v>
      </c>
      <c r="D393" s="14">
        <v>45809</v>
      </c>
      <c r="E393" s="24"/>
      <c r="F393" s="17" t="str">
        <f t="shared" si="6"/>
        <v>Jun-2025</v>
      </c>
      <c r="G393" s="2">
        <v>55585.04</v>
      </c>
      <c r="H393" s="26" t="s">
        <v>52</v>
      </c>
      <c r="I393" s="32">
        <v>18</v>
      </c>
      <c r="J393" s="2">
        <v>10005.31</v>
      </c>
      <c r="K393" s="4" t="s">
        <v>165</v>
      </c>
      <c r="L393" s="4" t="s">
        <v>45</v>
      </c>
      <c r="M393" s="4" t="s">
        <v>61</v>
      </c>
      <c r="N393" s="4" t="s">
        <v>100</v>
      </c>
      <c r="O393" s="4" t="s">
        <v>939</v>
      </c>
      <c r="P393" s="6">
        <f>IF(Table3[[#This Row],[Payment Status]]="Overdue",1,0)</f>
        <v>0</v>
      </c>
      <c r="Q393" s="11"/>
      <c r="R393" s="4" t="s">
        <v>62</v>
      </c>
      <c r="S393" s="4" t="s">
        <v>41</v>
      </c>
    </row>
    <row r="394" spans="1:19" x14ac:dyDescent="0.3">
      <c r="A394" s="4" t="s">
        <v>871</v>
      </c>
      <c r="B394" s="4" t="s">
        <v>77</v>
      </c>
      <c r="C394" s="26" t="s">
        <v>872</v>
      </c>
      <c r="D394" s="14">
        <v>45904</v>
      </c>
      <c r="E394" s="24"/>
      <c r="F394" s="17" t="str">
        <f t="shared" si="6"/>
        <v>Sep-2025</v>
      </c>
      <c r="G394" s="2">
        <v>35670.379999999997</v>
      </c>
      <c r="H394" s="26" t="s">
        <v>72</v>
      </c>
      <c r="I394" s="32">
        <v>18</v>
      </c>
      <c r="J394" s="2">
        <v>6420.67</v>
      </c>
      <c r="K394" s="4" t="s">
        <v>97</v>
      </c>
      <c r="L394" s="4" t="s">
        <v>70</v>
      </c>
      <c r="M394" s="4" t="s">
        <v>55</v>
      </c>
      <c r="N394" s="4" t="s">
        <v>91</v>
      </c>
      <c r="O394" s="4" t="s">
        <v>92</v>
      </c>
      <c r="P394" s="6">
        <f>IF(Table3[[#This Row],[Payment Status]]="Overdue",1,0)</f>
        <v>1</v>
      </c>
      <c r="Q394" s="11"/>
      <c r="R394" s="4" t="s">
        <v>28</v>
      </c>
      <c r="S394" s="4" t="s">
        <v>85</v>
      </c>
    </row>
    <row r="395" spans="1:19" x14ac:dyDescent="0.3">
      <c r="A395" s="4" t="s">
        <v>724</v>
      </c>
      <c r="B395" s="4" t="s">
        <v>197</v>
      </c>
      <c r="C395" s="26" t="s">
        <v>725</v>
      </c>
      <c r="D395" s="14">
        <v>45655</v>
      </c>
      <c r="E395" s="24"/>
      <c r="F395" s="17" t="str">
        <f t="shared" si="6"/>
        <v>Dec-2024</v>
      </c>
      <c r="G395" s="2">
        <v>53676.09</v>
      </c>
      <c r="H395" s="26" t="s">
        <v>52</v>
      </c>
      <c r="I395" s="32">
        <v>28</v>
      </c>
      <c r="J395" s="2">
        <v>15029.31</v>
      </c>
      <c r="K395" s="4" t="s">
        <v>44</v>
      </c>
      <c r="L395" s="4" t="s">
        <v>60</v>
      </c>
      <c r="M395" s="4" t="s">
        <v>19</v>
      </c>
      <c r="N395" s="4" t="s">
        <v>100</v>
      </c>
      <c r="O395" s="4" t="s">
        <v>25</v>
      </c>
      <c r="P395" s="6">
        <f>IF(Table3[[#This Row],[Payment Status]]="Overdue",1,0)</f>
        <v>0</v>
      </c>
      <c r="Q395" s="11"/>
      <c r="R395" s="4" t="s">
        <v>40</v>
      </c>
      <c r="S395" s="4" t="s">
        <v>67</v>
      </c>
    </row>
    <row r="396" spans="1:19" x14ac:dyDescent="0.3">
      <c r="A396" s="4" t="s">
        <v>757</v>
      </c>
      <c r="B396" s="4" t="s">
        <v>121</v>
      </c>
      <c r="C396" s="26" t="s">
        <v>758</v>
      </c>
      <c r="D396" s="14">
        <v>45341</v>
      </c>
      <c r="E396" s="24"/>
      <c r="F396" s="17" t="str">
        <f t="shared" si="6"/>
        <v>Feb-2024</v>
      </c>
      <c r="G396" s="2">
        <v>49348.42</v>
      </c>
      <c r="H396" s="26" t="s">
        <v>18</v>
      </c>
      <c r="I396" s="32">
        <v>12</v>
      </c>
      <c r="J396" s="2">
        <v>5921.81</v>
      </c>
      <c r="K396" s="4" t="s">
        <v>143</v>
      </c>
      <c r="L396" s="4" t="s">
        <v>34</v>
      </c>
      <c r="M396" s="4" t="s">
        <v>61</v>
      </c>
      <c r="N396" s="4" t="s">
        <v>80</v>
      </c>
      <c r="O396" s="4" t="s">
        <v>25</v>
      </c>
      <c r="P396" s="6">
        <f>IF(Table3[[#This Row],[Payment Status]]="Overdue",1,0)</f>
        <v>0</v>
      </c>
      <c r="Q396" s="11"/>
      <c r="R396" s="4" t="s">
        <v>62</v>
      </c>
      <c r="S396" s="4" t="s">
        <v>41</v>
      </c>
    </row>
    <row r="397" spans="1:19" x14ac:dyDescent="0.3">
      <c r="A397" s="4" t="s">
        <v>157</v>
      </c>
      <c r="B397" s="4" t="s">
        <v>141</v>
      </c>
      <c r="C397" s="27"/>
      <c r="D397" s="14">
        <v>45400</v>
      </c>
      <c r="E397" s="24"/>
      <c r="F397" s="17" t="str">
        <f t="shared" si="6"/>
        <v>Apr-2024</v>
      </c>
      <c r="G397" s="2">
        <v>12114.12</v>
      </c>
      <c r="H397" s="30" t="s">
        <v>941</v>
      </c>
      <c r="I397" s="32">
        <v>28</v>
      </c>
      <c r="J397" s="2">
        <v>3391.95</v>
      </c>
      <c r="K397" s="4" t="s">
        <v>143</v>
      </c>
      <c r="L397" s="4" t="s">
        <v>24</v>
      </c>
      <c r="M397" s="4" t="s">
        <v>19</v>
      </c>
      <c r="N397" s="4" t="s">
        <v>35</v>
      </c>
      <c r="O397" s="4" t="s">
        <v>92</v>
      </c>
      <c r="P397" s="6">
        <f>IF(Table3[[#This Row],[Payment Status]]="Overdue",1,0)</f>
        <v>1</v>
      </c>
      <c r="Q397" s="11"/>
      <c r="R397" s="4" t="s">
        <v>36</v>
      </c>
      <c r="S397" s="5" t="s">
        <v>941</v>
      </c>
    </row>
    <row r="398" spans="1:19" x14ac:dyDescent="0.3">
      <c r="A398" s="4" t="s">
        <v>728</v>
      </c>
      <c r="B398" s="4" t="s">
        <v>923</v>
      </c>
      <c r="C398" s="26" t="s">
        <v>729</v>
      </c>
      <c r="D398" s="14">
        <v>45734</v>
      </c>
      <c r="E398" s="24"/>
      <c r="F398" s="17" t="str">
        <f t="shared" si="6"/>
        <v>Mar-2025</v>
      </c>
      <c r="G398" s="2">
        <v>73503.06</v>
      </c>
      <c r="H398" s="26" t="s">
        <v>72</v>
      </c>
      <c r="I398" s="32">
        <v>0</v>
      </c>
      <c r="J398" s="2">
        <v>0</v>
      </c>
      <c r="K398" s="4" t="s">
        <v>53</v>
      </c>
      <c r="L398" s="4" t="s">
        <v>54</v>
      </c>
      <c r="M398" s="4" t="s">
        <v>25</v>
      </c>
      <c r="N398" s="5" t="s">
        <v>942</v>
      </c>
      <c r="O398" s="4" t="s">
        <v>111</v>
      </c>
      <c r="P398" s="6">
        <f>IF(Table3[[#This Row],[Payment Status]]="Overdue",1,0)</f>
        <v>0</v>
      </c>
      <c r="Q398" s="11"/>
      <c r="R398" s="4" t="s">
        <v>941</v>
      </c>
      <c r="S398" s="4" t="s">
        <v>63</v>
      </c>
    </row>
    <row r="399" spans="1:19" x14ac:dyDescent="0.3">
      <c r="A399" s="4" t="s">
        <v>220</v>
      </c>
      <c r="B399" s="4" t="s">
        <v>47</v>
      </c>
      <c r="C399" s="26" t="s">
        <v>221</v>
      </c>
      <c r="D399" s="14">
        <v>45863</v>
      </c>
      <c r="E399" s="24"/>
      <c r="F399" s="17" t="str">
        <f t="shared" si="6"/>
        <v>Jul-2025</v>
      </c>
      <c r="G399" s="2">
        <v>80688.14</v>
      </c>
      <c r="H399" s="26" t="s">
        <v>52</v>
      </c>
      <c r="I399" s="32">
        <v>18</v>
      </c>
      <c r="J399" s="2">
        <v>14523.87</v>
      </c>
      <c r="K399" s="4" t="s">
        <v>73</v>
      </c>
      <c r="L399" s="4" t="s">
        <v>79</v>
      </c>
      <c r="M399" s="4" t="s">
        <v>25</v>
      </c>
      <c r="N399" s="5" t="s">
        <v>942</v>
      </c>
      <c r="O399" s="6" t="s">
        <v>126</v>
      </c>
      <c r="P399" s="6">
        <f>IF(Table3[[#This Row],[Payment Status]]="Overdue",1,0)</f>
        <v>0</v>
      </c>
      <c r="Q399" s="10">
        <v>45876</v>
      </c>
      <c r="R399" s="4" t="s">
        <v>20</v>
      </c>
      <c r="S399" s="4" t="s">
        <v>63</v>
      </c>
    </row>
    <row r="400" spans="1:19" x14ac:dyDescent="0.3">
      <c r="A400" s="4" t="s">
        <v>496</v>
      </c>
      <c r="B400" s="4" t="s">
        <v>163</v>
      </c>
      <c r="C400" s="26" t="s">
        <v>497</v>
      </c>
      <c r="D400" s="14">
        <v>45649</v>
      </c>
      <c r="E400" s="24"/>
      <c r="F400" s="17" t="str">
        <f t="shared" si="6"/>
        <v>Dec-2024</v>
      </c>
      <c r="G400" s="2">
        <v>74638.94</v>
      </c>
      <c r="H400" s="26" t="s">
        <v>18</v>
      </c>
      <c r="I400" s="32">
        <v>18</v>
      </c>
      <c r="J400" s="2">
        <v>13435.01</v>
      </c>
      <c r="K400" s="4" t="s">
        <v>66</v>
      </c>
      <c r="L400" s="4" t="s">
        <v>60</v>
      </c>
      <c r="M400" s="4" t="s">
        <v>19</v>
      </c>
      <c r="N400" s="4" t="s">
        <v>117</v>
      </c>
      <c r="O400" s="4" t="s">
        <v>939</v>
      </c>
      <c r="P400" s="6">
        <f>IF(Table3[[#This Row],[Payment Status]]="Overdue",1,0)</f>
        <v>0</v>
      </c>
      <c r="Q400" s="11"/>
      <c r="R400" s="4" t="s">
        <v>184</v>
      </c>
      <c r="S400" s="4" t="s">
        <v>41</v>
      </c>
    </row>
    <row r="401" spans="1:19" x14ac:dyDescent="0.3">
      <c r="A401" s="4" t="s">
        <v>394</v>
      </c>
      <c r="B401" s="4" t="s">
        <v>128</v>
      </c>
      <c r="C401" s="26" t="s">
        <v>395</v>
      </c>
      <c r="D401" s="14">
        <v>45935</v>
      </c>
      <c r="E401" s="24"/>
      <c r="F401" s="17" t="str">
        <f t="shared" si="6"/>
        <v>Oct-2025</v>
      </c>
      <c r="G401" s="2">
        <v>51149.84</v>
      </c>
      <c r="H401" s="26" t="s">
        <v>72</v>
      </c>
      <c r="I401" s="32">
        <v>18</v>
      </c>
      <c r="J401" s="2">
        <v>9206.9699999999993</v>
      </c>
      <c r="K401" s="4" t="s">
        <v>66</v>
      </c>
      <c r="L401" s="4" t="s">
        <v>940</v>
      </c>
      <c r="M401" s="4" t="s">
        <v>55</v>
      </c>
      <c r="N401" s="4" t="s">
        <v>91</v>
      </c>
      <c r="O401" s="4" t="s">
        <v>111</v>
      </c>
      <c r="P401" s="6">
        <f>IF(Table3[[#This Row],[Payment Status]]="Overdue",1,0)</f>
        <v>0</v>
      </c>
      <c r="Q401" s="11"/>
      <c r="R401" s="4" t="s">
        <v>184</v>
      </c>
      <c r="S401" s="4" t="s">
        <v>88</v>
      </c>
    </row>
    <row r="402" spans="1:19" x14ac:dyDescent="0.3">
      <c r="A402" s="4" t="s">
        <v>178</v>
      </c>
      <c r="B402" s="4" t="s">
        <v>31</v>
      </c>
      <c r="C402" s="26" t="s">
        <v>179</v>
      </c>
      <c r="D402" s="14">
        <v>45457</v>
      </c>
      <c r="E402" s="24"/>
      <c r="F402" s="17" t="str">
        <f t="shared" si="6"/>
        <v>Jun-2024</v>
      </c>
      <c r="G402" s="2">
        <v>35226.589999999997</v>
      </c>
      <c r="H402" s="26" t="s">
        <v>18</v>
      </c>
      <c r="I402" s="32">
        <v>0</v>
      </c>
      <c r="J402" s="2">
        <v>0</v>
      </c>
      <c r="K402" s="4" t="s">
        <v>106</v>
      </c>
      <c r="L402" s="4" t="s">
        <v>70</v>
      </c>
      <c r="M402" s="4" t="s">
        <v>25</v>
      </c>
      <c r="N402" s="5" t="s">
        <v>942</v>
      </c>
      <c r="O402" s="4" t="s">
        <v>941</v>
      </c>
      <c r="P402" s="6">
        <f>IF(Table3[[#This Row],[Payment Status]]="Overdue",1,0)</f>
        <v>0</v>
      </c>
      <c r="Q402" s="11"/>
      <c r="R402" s="4" t="s">
        <v>36</v>
      </c>
      <c r="S402" s="4" t="s">
        <v>63</v>
      </c>
    </row>
    <row r="403" spans="1:19" x14ac:dyDescent="0.3">
      <c r="A403" s="4" t="s">
        <v>779</v>
      </c>
      <c r="B403" s="4" t="s">
        <v>22</v>
      </c>
      <c r="C403" s="26" t="s">
        <v>780</v>
      </c>
      <c r="D403" s="14">
        <v>45367</v>
      </c>
      <c r="E403" s="24"/>
      <c r="F403" s="17" t="str">
        <f t="shared" si="6"/>
        <v>Mar-2024</v>
      </c>
      <c r="G403" s="2">
        <v>1860.08</v>
      </c>
      <c r="H403" s="26" t="s">
        <v>72</v>
      </c>
      <c r="I403" s="32">
        <v>5</v>
      </c>
      <c r="J403" s="2">
        <v>93</v>
      </c>
      <c r="K403" s="4" t="s">
        <v>66</v>
      </c>
      <c r="L403" s="4" t="s">
        <v>940</v>
      </c>
      <c r="M403" s="4" t="s">
        <v>39</v>
      </c>
      <c r="N403" s="4" t="s">
        <v>35</v>
      </c>
      <c r="O403" s="4" t="s">
        <v>27</v>
      </c>
      <c r="P403" s="6">
        <f>IF(Table3[[#This Row],[Payment Status]]="Overdue",1,0)</f>
        <v>0</v>
      </c>
      <c r="Q403" s="11"/>
      <c r="R403" s="4" t="s">
        <v>20</v>
      </c>
      <c r="S403" s="4" t="s">
        <v>88</v>
      </c>
    </row>
    <row r="404" spans="1:19" x14ac:dyDescent="0.3">
      <c r="A404" s="4" t="s">
        <v>500</v>
      </c>
      <c r="B404" s="4" t="s">
        <v>31</v>
      </c>
      <c r="C404" s="26" t="s">
        <v>501</v>
      </c>
      <c r="D404" s="14">
        <v>45866</v>
      </c>
      <c r="E404" s="24"/>
      <c r="F404" s="17" t="str">
        <f t="shared" si="6"/>
        <v>Jul-2025</v>
      </c>
      <c r="G404" s="2">
        <v>77165.440000000002</v>
      </c>
      <c r="H404" s="26" t="s">
        <v>72</v>
      </c>
      <c r="I404" s="32">
        <v>18</v>
      </c>
      <c r="J404" s="2">
        <v>13889.78</v>
      </c>
      <c r="K404" s="4" t="s">
        <v>33</v>
      </c>
      <c r="L404" s="4" t="s">
        <v>24</v>
      </c>
      <c r="M404" s="4" t="s">
        <v>25</v>
      </c>
      <c r="N404" s="4" t="s">
        <v>117</v>
      </c>
      <c r="O404" s="4" t="s">
        <v>111</v>
      </c>
      <c r="P404" s="6">
        <f>IF(Table3[[#This Row],[Payment Status]]="Overdue",1,0)</f>
        <v>0</v>
      </c>
      <c r="Q404" s="11"/>
      <c r="R404" s="4" t="s">
        <v>62</v>
      </c>
      <c r="S404" s="5" t="s">
        <v>941</v>
      </c>
    </row>
    <row r="405" spans="1:19" x14ac:dyDescent="0.3">
      <c r="A405" s="4" t="s">
        <v>599</v>
      </c>
      <c r="B405" s="4" t="s">
        <v>77</v>
      </c>
      <c r="C405" s="26" t="s">
        <v>600</v>
      </c>
      <c r="D405" s="14">
        <v>45793</v>
      </c>
      <c r="E405" s="24"/>
      <c r="F405" s="17" t="str">
        <f t="shared" si="6"/>
        <v>May-2025</v>
      </c>
      <c r="G405" s="2">
        <v>12141.9</v>
      </c>
      <c r="H405" s="26" t="s">
        <v>52</v>
      </c>
      <c r="I405" s="32">
        <v>18</v>
      </c>
      <c r="J405" s="2">
        <v>2185.54</v>
      </c>
      <c r="K405" s="4" t="s">
        <v>230</v>
      </c>
      <c r="L405" s="4" t="s">
        <v>70</v>
      </c>
      <c r="M405" s="4" t="s">
        <v>55</v>
      </c>
      <c r="N405" s="5" t="s">
        <v>942</v>
      </c>
      <c r="O405" s="4" t="s">
        <v>27</v>
      </c>
      <c r="P405" s="6">
        <f>IF(Table3[[#This Row],[Payment Status]]="Overdue",1,0)</f>
        <v>0</v>
      </c>
      <c r="Q405" s="11"/>
      <c r="R405" s="4" t="s">
        <v>40</v>
      </c>
      <c r="S405" s="4" t="s">
        <v>41</v>
      </c>
    </row>
    <row r="406" spans="1:19" x14ac:dyDescent="0.3">
      <c r="A406" s="4" t="s">
        <v>357</v>
      </c>
      <c r="B406" s="4" t="s">
        <v>31</v>
      </c>
      <c r="C406" s="26" t="s">
        <v>358</v>
      </c>
      <c r="D406" s="14">
        <v>45764</v>
      </c>
      <c r="E406" s="24"/>
      <c r="F406" s="17" t="str">
        <f t="shared" si="6"/>
        <v>Apr-2025</v>
      </c>
      <c r="G406" s="2">
        <v>47225.39</v>
      </c>
      <c r="H406" s="26" t="s">
        <v>18</v>
      </c>
      <c r="I406" s="32">
        <v>0</v>
      </c>
      <c r="J406" s="2">
        <v>0</v>
      </c>
      <c r="K406" s="4" t="s">
        <v>97</v>
      </c>
      <c r="L406" s="4" t="s">
        <v>70</v>
      </c>
      <c r="M406" s="4" t="s">
        <v>39</v>
      </c>
      <c r="N406" s="4" t="s">
        <v>91</v>
      </c>
      <c r="O406" s="4" t="s">
        <v>126</v>
      </c>
      <c r="P406" s="6">
        <f>IF(Table3[[#This Row],[Payment Status]]="Overdue",1,0)</f>
        <v>0</v>
      </c>
      <c r="Q406" s="10">
        <v>45831</v>
      </c>
      <c r="R406" s="4" t="s">
        <v>20</v>
      </c>
      <c r="S406" s="4" t="s">
        <v>67</v>
      </c>
    </row>
    <row r="407" spans="1:19" x14ac:dyDescent="0.3">
      <c r="A407" s="4" t="s">
        <v>558</v>
      </c>
      <c r="B407" s="4" t="s">
        <v>141</v>
      </c>
      <c r="C407" s="26" t="s">
        <v>559</v>
      </c>
      <c r="D407" s="14">
        <v>45622</v>
      </c>
      <c r="E407" s="24"/>
      <c r="F407" s="17" t="str">
        <f t="shared" si="6"/>
        <v>Nov-2024</v>
      </c>
      <c r="G407" s="2">
        <v>47989.31</v>
      </c>
      <c r="H407" s="26" t="s">
        <v>52</v>
      </c>
      <c r="I407" s="32">
        <v>28</v>
      </c>
      <c r="J407" s="2">
        <v>13437.01</v>
      </c>
      <c r="K407" s="4" t="s">
        <v>143</v>
      </c>
      <c r="L407" s="4" t="s">
        <v>940</v>
      </c>
      <c r="M407" s="4" t="s">
        <v>19</v>
      </c>
      <c r="N407" s="4" t="s">
        <v>80</v>
      </c>
      <c r="O407" s="4" t="s">
        <v>111</v>
      </c>
      <c r="P407" s="6">
        <f>IF(Table3[[#This Row],[Payment Status]]="Overdue",1,0)</f>
        <v>0</v>
      </c>
      <c r="Q407" s="11"/>
      <c r="R407" s="4" t="s">
        <v>184</v>
      </c>
      <c r="S407" s="4" t="s">
        <v>41</v>
      </c>
    </row>
    <row r="408" spans="1:19" x14ac:dyDescent="0.3">
      <c r="A408" s="4" t="s">
        <v>430</v>
      </c>
      <c r="B408" s="4" t="s">
        <v>923</v>
      </c>
      <c r="C408" s="26" t="s">
        <v>431</v>
      </c>
      <c r="D408" s="14">
        <v>45761</v>
      </c>
      <c r="E408" s="24"/>
      <c r="F408" s="17" t="str">
        <f t="shared" si="6"/>
        <v>Apr-2025</v>
      </c>
      <c r="G408" s="2">
        <v>53178.94</v>
      </c>
      <c r="H408" s="26" t="s">
        <v>18</v>
      </c>
      <c r="I408" s="32">
        <v>5</v>
      </c>
      <c r="J408" s="2">
        <v>2658.95</v>
      </c>
      <c r="K408" s="4" t="s">
        <v>165</v>
      </c>
      <c r="L408" s="4" t="s">
        <v>45</v>
      </c>
      <c r="M408" s="4" t="s">
        <v>55</v>
      </c>
      <c r="N408" s="4" t="s">
        <v>35</v>
      </c>
      <c r="O408" s="4" t="s">
        <v>25</v>
      </c>
      <c r="P408" s="6">
        <f>IF(Table3[[#This Row],[Payment Status]]="Overdue",1,0)</f>
        <v>0</v>
      </c>
      <c r="Q408" s="11"/>
      <c r="R408" s="4" t="s">
        <v>184</v>
      </c>
      <c r="S408" s="4" t="s">
        <v>85</v>
      </c>
    </row>
    <row r="409" spans="1:19" x14ac:dyDescent="0.3">
      <c r="A409" s="4" t="s">
        <v>604</v>
      </c>
      <c r="B409" s="4" t="s">
        <v>141</v>
      </c>
      <c r="C409" s="26" t="s">
        <v>605</v>
      </c>
      <c r="D409" s="22"/>
      <c r="E409" s="24"/>
      <c r="F409" s="17" t="str">
        <f t="shared" si="6"/>
        <v>Jan-1900</v>
      </c>
      <c r="G409" s="2">
        <v>49983.85</v>
      </c>
      <c r="H409" s="26" t="s">
        <v>52</v>
      </c>
      <c r="I409" s="32">
        <v>18</v>
      </c>
      <c r="J409" s="2">
        <v>8997.09</v>
      </c>
      <c r="K409" s="4" t="s">
        <v>143</v>
      </c>
      <c r="L409" s="4" t="s">
        <v>70</v>
      </c>
      <c r="M409" s="4" t="s">
        <v>25</v>
      </c>
      <c r="N409" s="5" t="s">
        <v>942</v>
      </c>
      <c r="O409" s="4" t="s">
        <v>939</v>
      </c>
      <c r="P409" s="6">
        <f>IF(Table3[[#This Row],[Payment Status]]="Overdue",1,0)</f>
        <v>0</v>
      </c>
      <c r="Q409" s="11"/>
      <c r="R409" s="4" t="s">
        <v>20</v>
      </c>
      <c r="S409" s="4" t="s">
        <v>63</v>
      </c>
    </row>
    <row r="410" spans="1:19" x14ac:dyDescent="0.3">
      <c r="A410" s="4" t="s">
        <v>486</v>
      </c>
      <c r="B410" s="4" t="s">
        <v>153</v>
      </c>
      <c r="C410" s="26" t="s">
        <v>487</v>
      </c>
      <c r="D410" s="14">
        <v>45775</v>
      </c>
      <c r="E410" s="24"/>
      <c r="F410" s="17" t="str">
        <f t="shared" si="6"/>
        <v>Apr-2025</v>
      </c>
      <c r="G410" s="2">
        <v>64636.63</v>
      </c>
      <c r="H410" s="26" t="s">
        <v>18</v>
      </c>
      <c r="I410" s="32">
        <v>28</v>
      </c>
      <c r="J410" s="2">
        <v>18098.259999999998</v>
      </c>
      <c r="K410" s="4" t="s">
        <v>97</v>
      </c>
      <c r="L410" s="4" t="s">
        <v>45</v>
      </c>
      <c r="M410" s="4" t="s">
        <v>19</v>
      </c>
      <c r="N410" s="4" t="s">
        <v>56</v>
      </c>
      <c r="O410" s="6" t="s">
        <v>941</v>
      </c>
      <c r="P410" s="6">
        <f>IF(Table3[[#This Row],[Payment Status]]="Overdue",1,0)</f>
        <v>0</v>
      </c>
      <c r="Q410" s="11"/>
      <c r="R410" s="4" t="s">
        <v>62</v>
      </c>
      <c r="S410" s="4" t="s">
        <v>41</v>
      </c>
    </row>
    <row r="411" spans="1:19" x14ac:dyDescent="0.3">
      <c r="A411" s="4" t="s">
        <v>645</v>
      </c>
      <c r="B411" s="4" t="s">
        <v>630</v>
      </c>
      <c r="C411" s="26" t="s">
        <v>646</v>
      </c>
      <c r="D411" s="14">
        <v>45666</v>
      </c>
      <c r="E411" s="24"/>
      <c r="F411" s="17" t="str">
        <f t="shared" si="6"/>
        <v>Jan-2025</v>
      </c>
      <c r="G411" s="2">
        <v>61962.5</v>
      </c>
      <c r="H411" s="26" t="s">
        <v>18</v>
      </c>
      <c r="I411" s="32">
        <v>5</v>
      </c>
      <c r="J411" s="2">
        <v>3098.12</v>
      </c>
      <c r="K411" s="4" t="s">
        <v>230</v>
      </c>
      <c r="L411" s="4" t="s">
        <v>54</v>
      </c>
      <c r="M411" s="4" t="s">
        <v>19</v>
      </c>
      <c r="N411" s="4" t="s">
        <v>100</v>
      </c>
      <c r="O411" s="4" t="s">
        <v>25</v>
      </c>
      <c r="P411" s="6">
        <f>IF(Table3[[#This Row],[Payment Status]]="Overdue",1,0)</f>
        <v>0</v>
      </c>
      <c r="Q411" s="11"/>
      <c r="R411" s="4" t="s">
        <v>62</v>
      </c>
      <c r="S411" s="4" t="s">
        <v>63</v>
      </c>
    </row>
    <row r="412" spans="1:19" x14ac:dyDescent="0.3">
      <c r="A412" s="4" t="s">
        <v>897</v>
      </c>
      <c r="B412" s="4" t="s">
        <v>121</v>
      </c>
      <c r="C412" s="26" t="s">
        <v>898</v>
      </c>
      <c r="D412" s="14">
        <v>45336</v>
      </c>
      <c r="E412" s="24"/>
      <c r="F412" s="17" t="str">
        <f t="shared" si="6"/>
        <v>Feb-2024</v>
      </c>
      <c r="G412" s="2">
        <v>23413.65</v>
      </c>
      <c r="H412" s="26" t="s">
        <v>52</v>
      </c>
      <c r="I412" s="32">
        <v>0</v>
      </c>
      <c r="J412" s="2">
        <v>0</v>
      </c>
      <c r="K412" s="4" t="s">
        <v>44</v>
      </c>
      <c r="L412" s="4" t="s">
        <v>60</v>
      </c>
      <c r="M412" s="4" t="s">
        <v>55</v>
      </c>
      <c r="N412" s="4" t="s">
        <v>56</v>
      </c>
      <c r="O412" s="4" t="s">
        <v>126</v>
      </c>
      <c r="P412" s="6">
        <f>IF(Table3[[#This Row],[Payment Status]]="Overdue",1,0)</f>
        <v>0</v>
      </c>
      <c r="Q412" s="10">
        <v>45357</v>
      </c>
      <c r="R412" s="4" t="s">
        <v>40</v>
      </c>
      <c r="S412" s="4" t="s">
        <v>63</v>
      </c>
    </row>
    <row r="413" spans="1:19" x14ac:dyDescent="0.3">
      <c r="A413" s="4" t="s">
        <v>865</v>
      </c>
      <c r="B413" s="4" t="s">
        <v>141</v>
      </c>
      <c r="C413" s="26" t="s">
        <v>866</v>
      </c>
      <c r="D413" s="14">
        <v>45490</v>
      </c>
      <c r="E413" s="24"/>
      <c r="F413" s="17" t="str">
        <f t="shared" si="6"/>
        <v>Jul-2024</v>
      </c>
      <c r="G413" s="2">
        <v>28376.62</v>
      </c>
      <c r="H413" s="26" t="s">
        <v>52</v>
      </c>
      <c r="I413" s="32">
        <v>18</v>
      </c>
      <c r="J413" s="2">
        <v>5107.79</v>
      </c>
      <c r="K413" s="4" t="s">
        <v>165</v>
      </c>
      <c r="L413" s="4" t="s">
        <v>34</v>
      </c>
      <c r="M413" s="4" t="s">
        <v>19</v>
      </c>
      <c r="N413" s="4" t="s">
        <v>56</v>
      </c>
      <c r="O413" s="4" t="s">
        <v>939</v>
      </c>
      <c r="P413" s="6">
        <f>IF(Table3[[#This Row],[Payment Status]]="Overdue",1,0)</f>
        <v>0</v>
      </c>
      <c r="R413" s="4" t="s">
        <v>57</v>
      </c>
      <c r="S413" s="4" t="s">
        <v>88</v>
      </c>
    </row>
    <row r="414" spans="1:19" x14ac:dyDescent="0.3">
      <c r="A414" s="4" t="s">
        <v>158</v>
      </c>
      <c r="B414" s="4" t="s">
        <v>311</v>
      </c>
      <c r="C414" s="26" t="s">
        <v>159</v>
      </c>
      <c r="D414" s="14">
        <v>45866</v>
      </c>
      <c r="E414" s="24"/>
      <c r="F414" s="17" t="str">
        <f t="shared" si="6"/>
        <v>Jul-2025</v>
      </c>
      <c r="G414" s="2">
        <v>39711.51</v>
      </c>
      <c r="H414" s="26" t="s">
        <v>52</v>
      </c>
      <c r="I414" s="32">
        <v>0</v>
      </c>
      <c r="J414" s="2">
        <v>0</v>
      </c>
      <c r="K414" s="4" t="s">
        <v>106</v>
      </c>
      <c r="L414" s="4" t="s">
        <v>70</v>
      </c>
      <c r="M414" s="4" t="s">
        <v>25</v>
      </c>
      <c r="N414" s="4" t="s">
        <v>117</v>
      </c>
      <c r="O414" s="6" t="s">
        <v>941</v>
      </c>
      <c r="P414" s="6">
        <f>IF(Table3[[#This Row],[Payment Status]]="Overdue",1,0)</f>
        <v>0</v>
      </c>
      <c r="Q414" s="11"/>
      <c r="R414" s="4" t="s">
        <v>62</v>
      </c>
      <c r="S414" s="4" t="s">
        <v>63</v>
      </c>
    </row>
    <row r="415" spans="1:19" x14ac:dyDescent="0.3">
      <c r="A415" s="4" t="s">
        <v>653</v>
      </c>
      <c r="B415" s="4" t="s">
        <v>128</v>
      </c>
      <c r="C415" s="26" t="s">
        <v>654</v>
      </c>
      <c r="D415" s="14">
        <v>45346</v>
      </c>
      <c r="E415" s="24"/>
      <c r="F415" s="17" t="str">
        <f t="shared" si="6"/>
        <v>Feb-2024</v>
      </c>
      <c r="G415" s="2">
        <v>15253.64</v>
      </c>
      <c r="H415" s="26" t="s">
        <v>52</v>
      </c>
      <c r="I415" s="32">
        <v>28</v>
      </c>
      <c r="J415" s="2">
        <v>4271.0200000000004</v>
      </c>
      <c r="K415" s="4" t="s">
        <v>73</v>
      </c>
      <c r="L415" s="4" t="s">
        <v>79</v>
      </c>
      <c r="M415" s="4" t="s">
        <v>39</v>
      </c>
      <c r="N415" s="4" t="s">
        <v>100</v>
      </c>
      <c r="O415" s="4" t="s">
        <v>92</v>
      </c>
      <c r="P415" s="6">
        <f>IF(Table3[[#This Row],[Payment Status]]="Overdue",1,0)</f>
        <v>1</v>
      </c>
      <c r="Q415" s="11"/>
      <c r="R415" s="4" t="s">
        <v>40</v>
      </c>
      <c r="S415" s="4" t="s">
        <v>41</v>
      </c>
    </row>
    <row r="416" spans="1:19" x14ac:dyDescent="0.3">
      <c r="A416" s="4" t="s">
        <v>351</v>
      </c>
      <c r="B416" s="4" t="s">
        <v>163</v>
      </c>
      <c r="C416" s="26" t="s">
        <v>352</v>
      </c>
      <c r="D416" s="14">
        <v>45451</v>
      </c>
      <c r="E416" s="24"/>
      <c r="F416" s="17" t="str">
        <f t="shared" si="6"/>
        <v>Jun-2024</v>
      </c>
      <c r="G416" s="2">
        <v>84470.17</v>
      </c>
      <c r="H416" s="26" t="s">
        <v>18</v>
      </c>
      <c r="I416" s="32">
        <v>18</v>
      </c>
      <c r="J416" s="2">
        <v>15204.63</v>
      </c>
      <c r="K416" s="4" t="s">
        <v>66</v>
      </c>
      <c r="L416" s="4" t="s">
        <v>60</v>
      </c>
      <c r="M416" s="4" t="s">
        <v>25</v>
      </c>
      <c r="N416" s="4" t="s">
        <v>35</v>
      </c>
      <c r="O416" s="4" t="s">
        <v>939</v>
      </c>
      <c r="P416" s="6">
        <f>IF(Table3[[#This Row],[Payment Status]]="Overdue",1,0)</f>
        <v>0</v>
      </c>
      <c r="Q416" s="11"/>
      <c r="R416" s="4" t="s">
        <v>184</v>
      </c>
      <c r="S416" s="4" t="s">
        <v>29</v>
      </c>
    </row>
    <row r="417" spans="1:19" x14ac:dyDescent="0.3">
      <c r="A417" s="4" t="s">
        <v>676</v>
      </c>
      <c r="B417" s="4" t="s">
        <v>163</v>
      </c>
      <c r="C417" s="26" t="s">
        <v>677</v>
      </c>
      <c r="D417" s="14">
        <v>45894</v>
      </c>
      <c r="E417" s="24"/>
      <c r="F417" s="17" t="str">
        <f t="shared" si="6"/>
        <v>Aug-2025</v>
      </c>
      <c r="G417" s="2">
        <v>59654.31</v>
      </c>
      <c r="H417" s="26" t="s">
        <v>52</v>
      </c>
      <c r="I417" s="32">
        <v>0</v>
      </c>
      <c r="J417" s="2">
        <v>0</v>
      </c>
      <c r="K417" s="4" t="s">
        <v>230</v>
      </c>
      <c r="L417" s="4" t="s">
        <v>79</v>
      </c>
      <c r="M417" s="4" t="s">
        <v>39</v>
      </c>
      <c r="N417" s="4" t="s">
        <v>80</v>
      </c>
      <c r="O417" s="4" t="s">
        <v>111</v>
      </c>
      <c r="P417" s="6">
        <f>IF(Table3[[#This Row],[Payment Status]]="Overdue",1,0)</f>
        <v>0</v>
      </c>
      <c r="Q417" s="11"/>
      <c r="R417" s="4" t="s">
        <v>28</v>
      </c>
      <c r="S417" s="4" t="s">
        <v>67</v>
      </c>
    </row>
    <row r="418" spans="1:19" x14ac:dyDescent="0.3">
      <c r="A418" s="4" t="s">
        <v>615</v>
      </c>
      <c r="B418" s="4" t="s">
        <v>141</v>
      </c>
      <c r="C418" s="26" t="s">
        <v>616</v>
      </c>
      <c r="D418" s="14">
        <v>45674</v>
      </c>
      <c r="E418" s="24"/>
      <c r="F418" s="17" t="str">
        <f t="shared" si="6"/>
        <v>Jan-2025</v>
      </c>
      <c r="G418" s="2">
        <v>57725.46</v>
      </c>
      <c r="H418" s="26" t="s">
        <v>52</v>
      </c>
      <c r="I418" s="32">
        <v>5</v>
      </c>
      <c r="J418" s="2">
        <v>2886.27</v>
      </c>
      <c r="K418" s="4" t="s">
        <v>33</v>
      </c>
      <c r="L418" s="4" t="s">
        <v>24</v>
      </c>
      <c r="M418" s="4" t="s">
        <v>39</v>
      </c>
      <c r="N418" s="5" t="s">
        <v>942</v>
      </c>
      <c r="O418" s="4" t="s">
        <v>126</v>
      </c>
      <c r="P418" s="6">
        <f>IF(Table3[[#This Row],[Payment Status]]="Overdue",1,0)</f>
        <v>0</v>
      </c>
      <c r="Q418" s="10">
        <v>45871</v>
      </c>
      <c r="R418" s="4" t="s">
        <v>62</v>
      </c>
      <c r="S418" s="4" t="s">
        <v>85</v>
      </c>
    </row>
    <row r="419" spans="1:19" x14ac:dyDescent="0.3">
      <c r="A419" s="4" t="s">
        <v>816</v>
      </c>
      <c r="B419" s="4" t="s">
        <v>153</v>
      </c>
      <c r="C419" s="26" t="s">
        <v>817</v>
      </c>
      <c r="D419" s="14">
        <v>45461</v>
      </c>
      <c r="E419" s="24"/>
      <c r="F419" s="17" t="str">
        <f t="shared" si="6"/>
        <v>Jun-2024</v>
      </c>
      <c r="G419" s="2">
        <v>17154.490000000002</v>
      </c>
      <c r="H419" s="30" t="s">
        <v>941</v>
      </c>
      <c r="I419" s="32">
        <v>5</v>
      </c>
      <c r="J419" s="2">
        <v>857.72</v>
      </c>
      <c r="K419" s="4" t="s">
        <v>230</v>
      </c>
      <c r="L419" s="4" t="s">
        <v>24</v>
      </c>
      <c r="M419" s="4" t="s">
        <v>19</v>
      </c>
      <c r="N419" s="4" t="s">
        <v>117</v>
      </c>
      <c r="O419" s="4" t="s">
        <v>92</v>
      </c>
      <c r="P419" s="6">
        <f>IF(Table3[[#This Row],[Payment Status]]="Overdue",1,0)</f>
        <v>1</v>
      </c>
      <c r="Q419" s="11"/>
      <c r="R419" s="4" t="s">
        <v>20</v>
      </c>
      <c r="S419" s="4" t="s">
        <v>85</v>
      </c>
    </row>
    <row r="420" spans="1:19" x14ac:dyDescent="0.3">
      <c r="A420" s="4" t="s">
        <v>372</v>
      </c>
      <c r="B420" s="4" t="s">
        <v>923</v>
      </c>
      <c r="C420" s="26" t="s">
        <v>373</v>
      </c>
      <c r="D420" s="14">
        <v>45423</v>
      </c>
      <c r="E420" s="24"/>
      <c r="F420" s="17" t="str">
        <f t="shared" si="6"/>
        <v>May-2024</v>
      </c>
      <c r="G420" s="2">
        <v>34080.120000000003</v>
      </c>
      <c r="H420" s="26" t="s">
        <v>52</v>
      </c>
      <c r="I420" s="32">
        <v>18</v>
      </c>
      <c r="J420" s="2">
        <v>6134.42</v>
      </c>
      <c r="K420" s="4" t="s">
        <v>106</v>
      </c>
      <c r="L420" s="4" t="s">
        <v>98</v>
      </c>
      <c r="M420" s="4" t="s">
        <v>25</v>
      </c>
      <c r="N420" s="4" t="s">
        <v>100</v>
      </c>
      <c r="O420" s="4" t="s">
        <v>92</v>
      </c>
      <c r="P420" s="6">
        <f>IF(Table3[[#This Row],[Payment Status]]="Overdue",1,0)</f>
        <v>1</v>
      </c>
      <c r="Q420" s="11"/>
      <c r="R420" s="4" t="s">
        <v>62</v>
      </c>
      <c r="S420" s="4" t="s">
        <v>85</v>
      </c>
    </row>
    <row r="421" spans="1:19" x14ac:dyDescent="0.3">
      <c r="A421" s="4" t="s">
        <v>290</v>
      </c>
      <c r="B421" s="4" t="s">
        <v>197</v>
      </c>
      <c r="C421" s="26" t="s">
        <v>291</v>
      </c>
      <c r="D421" s="22"/>
      <c r="E421" s="24"/>
      <c r="F421" s="17" t="str">
        <f t="shared" si="6"/>
        <v>Jan-1900</v>
      </c>
      <c r="G421" s="2">
        <v>32738.05</v>
      </c>
      <c r="H421" s="26" t="s">
        <v>52</v>
      </c>
      <c r="I421" s="32">
        <v>18</v>
      </c>
      <c r="J421" s="2">
        <v>5892.85</v>
      </c>
      <c r="K421" s="4" t="s">
        <v>53</v>
      </c>
      <c r="L421" s="4" t="s">
        <v>34</v>
      </c>
      <c r="M421" s="4" t="s">
        <v>39</v>
      </c>
      <c r="N421" s="5" t="s">
        <v>942</v>
      </c>
      <c r="O421" s="4" t="s">
        <v>126</v>
      </c>
      <c r="P421" s="6">
        <f>IF(Table3[[#This Row],[Payment Status]]="Overdue",1,0)</f>
        <v>0</v>
      </c>
      <c r="Q421" s="10">
        <v>45657</v>
      </c>
      <c r="R421" s="4" t="s">
        <v>62</v>
      </c>
      <c r="S421" s="4" t="s">
        <v>63</v>
      </c>
    </row>
    <row r="422" spans="1:19" x14ac:dyDescent="0.3">
      <c r="A422" s="4" t="s">
        <v>397</v>
      </c>
      <c r="B422" s="4" t="s">
        <v>121</v>
      </c>
      <c r="C422" s="26" t="s">
        <v>398</v>
      </c>
      <c r="D422" s="14">
        <v>45703</v>
      </c>
      <c r="E422" s="24"/>
      <c r="F422" s="17" t="str">
        <f t="shared" si="6"/>
        <v>Feb-2025</v>
      </c>
      <c r="G422" s="2">
        <v>25855.69</v>
      </c>
      <c r="H422" s="26" t="s">
        <v>52</v>
      </c>
      <c r="I422" s="32">
        <v>18</v>
      </c>
      <c r="J422" s="2">
        <v>4654.0200000000004</v>
      </c>
      <c r="K422" s="4" t="s">
        <v>230</v>
      </c>
      <c r="L422" s="4" t="s">
        <v>60</v>
      </c>
      <c r="M422" s="4" t="s">
        <v>55</v>
      </c>
      <c r="N422" s="5" t="s">
        <v>942</v>
      </c>
      <c r="O422" s="4" t="s">
        <v>111</v>
      </c>
      <c r="P422" s="6">
        <f>IF(Table3[[#This Row],[Payment Status]]="Overdue",1,0)</f>
        <v>0</v>
      </c>
      <c r="Q422" s="11"/>
      <c r="R422" s="4" t="s">
        <v>184</v>
      </c>
      <c r="S422" s="4" t="s">
        <v>63</v>
      </c>
    </row>
    <row r="423" spans="1:19" x14ac:dyDescent="0.3">
      <c r="A423" s="4" t="s">
        <v>633</v>
      </c>
      <c r="B423" s="4" t="s">
        <v>153</v>
      </c>
      <c r="C423" s="26" t="s">
        <v>634</v>
      </c>
      <c r="D423" s="22"/>
      <c r="E423" s="24"/>
      <c r="F423" s="17" t="str">
        <f t="shared" si="6"/>
        <v>Jan-1900</v>
      </c>
      <c r="G423" s="2">
        <v>10463.64</v>
      </c>
      <c r="H423" s="26" t="s">
        <v>18</v>
      </c>
      <c r="I423" s="32">
        <v>18</v>
      </c>
      <c r="J423" s="2">
        <v>1883.46</v>
      </c>
      <c r="K423" s="4" t="s">
        <v>106</v>
      </c>
      <c r="L423" s="4" t="s">
        <v>54</v>
      </c>
      <c r="M423" s="4" t="s">
        <v>19</v>
      </c>
      <c r="N423" s="4" t="s">
        <v>91</v>
      </c>
      <c r="O423" s="4" t="s">
        <v>939</v>
      </c>
      <c r="P423" s="6">
        <f>IF(Table3[[#This Row],[Payment Status]]="Overdue",1,0)</f>
        <v>0</v>
      </c>
      <c r="Q423" s="11"/>
      <c r="R423" s="4" t="s">
        <v>62</v>
      </c>
      <c r="S423" s="4" t="s">
        <v>29</v>
      </c>
    </row>
    <row r="424" spans="1:19" x14ac:dyDescent="0.3">
      <c r="A424" s="4" t="s">
        <v>742</v>
      </c>
      <c r="B424" s="4" t="s">
        <v>190</v>
      </c>
      <c r="C424" s="26" t="s">
        <v>743</v>
      </c>
      <c r="D424" s="14">
        <v>45471</v>
      </c>
      <c r="E424" s="24"/>
      <c r="F424" s="17" t="str">
        <f t="shared" si="6"/>
        <v>Jun-2024</v>
      </c>
      <c r="G424" s="2">
        <v>10845.74</v>
      </c>
      <c r="H424" s="30" t="s">
        <v>941</v>
      </c>
      <c r="I424" s="32">
        <v>12</v>
      </c>
      <c r="J424" s="2">
        <v>1301.49</v>
      </c>
      <c r="K424" s="4" t="s">
        <v>44</v>
      </c>
      <c r="L424" s="4" t="s">
        <v>45</v>
      </c>
      <c r="M424" s="4" t="s">
        <v>19</v>
      </c>
      <c r="N424" s="4" t="s">
        <v>100</v>
      </c>
      <c r="O424" s="4" t="s">
        <v>126</v>
      </c>
      <c r="P424" s="6">
        <f>IF(Table3[[#This Row],[Payment Status]]="Overdue",1,0)</f>
        <v>0</v>
      </c>
      <c r="Q424" s="10">
        <v>45488</v>
      </c>
      <c r="R424" s="4" t="s">
        <v>62</v>
      </c>
      <c r="S424" s="4" t="s">
        <v>29</v>
      </c>
    </row>
    <row r="425" spans="1:19" x14ac:dyDescent="0.3">
      <c r="A425" s="4" t="s">
        <v>674</v>
      </c>
      <c r="B425" s="4" t="s">
        <v>630</v>
      </c>
      <c r="C425" s="26" t="s">
        <v>675</v>
      </c>
      <c r="D425" s="14">
        <v>45555</v>
      </c>
      <c r="E425" s="24"/>
      <c r="F425" s="17" t="str">
        <f t="shared" si="6"/>
        <v>Sep-2024</v>
      </c>
      <c r="G425" s="2">
        <v>71157</v>
      </c>
      <c r="H425" s="30" t="s">
        <v>941</v>
      </c>
      <c r="I425" s="32">
        <v>18</v>
      </c>
      <c r="J425" s="2">
        <v>12808.26</v>
      </c>
      <c r="K425" s="4" t="s">
        <v>106</v>
      </c>
      <c r="L425" s="4" t="s">
        <v>940</v>
      </c>
      <c r="M425" s="4" t="s">
        <v>25</v>
      </c>
      <c r="N425" s="4" t="s">
        <v>56</v>
      </c>
      <c r="O425" s="4" t="s">
        <v>92</v>
      </c>
      <c r="P425" s="6">
        <f>IF(Table3[[#This Row],[Payment Status]]="Overdue",1,0)</f>
        <v>1</v>
      </c>
      <c r="Q425" s="11"/>
      <c r="R425" s="4" t="s">
        <v>62</v>
      </c>
      <c r="S425" s="4" t="s">
        <v>88</v>
      </c>
    </row>
    <row r="426" spans="1:19" x14ac:dyDescent="0.3">
      <c r="A426" s="4" t="s">
        <v>112</v>
      </c>
      <c r="B426" s="4" t="s">
        <v>77</v>
      </c>
      <c r="C426" s="26" t="s">
        <v>936</v>
      </c>
      <c r="D426" s="14">
        <v>45716</v>
      </c>
      <c r="E426" s="24"/>
      <c r="F426" s="17" t="str">
        <f t="shared" si="6"/>
        <v>Feb-2025</v>
      </c>
      <c r="G426" s="2">
        <v>22809.47</v>
      </c>
      <c r="H426" s="30" t="s">
        <v>941</v>
      </c>
      <c r="I426" s="32">
        <v>12</v>
      </c>
      <c r="J426" s="2">
        <v>2737.14</v>
      </c>
      <c r="K426" s="5" t="s">
        <v>66</v>
      </c>
      <c r="L426" s="4" t="s">
        <v>45</v>
      </c>
      <c r="M426" s="4" t="s">
        <v>61</v>
      </c>
      <c r="N426" s="5" t="s">
        <v>942</v>
      </c>
      <c r="O426" s="4" t="s">
        <v>92</v>
      </c>
      <c r="P426" s="6">
        <f>IF(Table3[[#This Row],[Payment Status]]="Overdue",1,0)</f>
        <v>1</v>
      </c>
      <c r="Q426" s="11"/>
      <c r="R426" s="4" t="s">
        <v>941</v>
      </c>
      <c r="S426" s="4" t="s">
        <v>41</v>
      </c>
    </row>
    <row r="427" spans="1:19" x14ac:dyDescent="0.3">
      <c r="A427" s="4" t="s">
        <v>130</v>
      </c>
      <c r="B427" s="4" t="s">
        <v>128</v>
      </c>
      <c r="C427" s="26" t="s">
        <v>131</v>
      </c>
      <c r="D427" s="14">
        <v>45802</v>
      </c>
      <c r="E427" s="24"/>
      <c r="F427" s="17" t="str">
        <f t="shared" si="6"/>
        <v>May-2025</v>
      </c>
      <c r="G427" s="2">
        <v>57252.86</v>
      </c>
      <c r="H427" s="26" t="s">
        <v>18</v>
      </c>
      <c r="I427" s="32">
        <v>0</v>
      </c>
      <c r="J427" s="2">
        <v>0</v>
      </c>
      <c r="K427" s="4" t="s">
        <v>44</v>
      </c>
      <c r="L427" s="4" t="s">
        <v>940</v>
      </c>
      <c r="M427" s="4" t="s">
        <v>25</v>
      </c>
      <c r="N427" s="5" t="s">
        <v>942</v>
      </c>
      <c r="O427" s="4" t="s">
        <v>92</v>
      </c>
      <c r="P427" s="6">
        <f>IF(Table3[[#This Row],[Payment Status]]="Overdue",1,0)</f>
        <v>1</v>
      </c>
      <c r="R427" s="4" t="s">
        <v>184</v>
      </c>
      <c r="S427" s="4" t="s">
        <v>67</v>
      </c>
    </row>
    <row r="428" spans="1:19" x14ac:dyDescent="0.3">
      <c r="A428" s="4" t="s">
        <v>386</v>
      </c>
      <c r="B428" s="4" t="s">
        <v>121</v>
      </c>
      <c r="C428" s="26" t="s">
        <v>387</v>
      </c>
      <c r="D428" s="14">
        <v>45676</v>
      </c>
      <c r="E428" s="24"/>
      <c r="F428" s="17" t="str">
        <f t="shared" si="6"/>
        <v>Jan-2025</v>
      </c>
      <c r="G428" s="2">
        <v>32259.69</v>
      </c>
      <c r="H428" s="26" t="s">
        <v>72</v>
      </c>
      <c r="I428" s="32">
        <v>5</v>
      </c>
      <c r="J428" s="2">
        <v>1612.98</v>
      </c>
      <c r="K428" s="4" t="s">
        <v>165</v>
      </c>
      <c r="L428" s="4" t="s">
        <v>54</v>
      </c>
      <c r="M428" s="4" t="s">
        <v>55</v>
      </c>
      <c r="N428" s="5" t="s">
        <v>942</v>
      </c>
      <c r="O428" s="4" t="s">
        <v>939</v>
      </c>
      <c r="P428" s="6">
        <f>IF(Table3[[#This Row],[Payment Status]]="Overdue",1,0)</f>
        <v>0</v>
      </c>
      <c r="Q428" s="11"/>
      <c r="R428" s="4" t="s">
        <v>184</v>
      </c>
      <c r="S428" s="4" t="s">
        <v>88</v>
      </c>
    </row>
    <row r="429" spans="1:19" x14ac:dyDescent="0.3">
      <c r="A429" s="4" t="s">
        <v>246</v>
      </c>
      <c r="B429" s="4" t="s">
        <v>137</v>
      </c>
      <c r="C429" s="26" t="s">
        <v>247</v>
      </c>
      <c r="D429" s="22"/>
      <c r="E429" s="24"/>
      <c r="F429" s="17" t="str">
        <f t="shared" si="6"/>
        <v>Jan-1900</v>
      </c>
      <c r="G429" s="2">
        <v>42136.6</v>
      </c>
      <c r="H429" s="26" t="s">
        <v>52</v>
      </c>
      <c r="I429" s="32">
        <v>18</v>
      </c>
      <c r="J429" s="2">
        <v>7584.59</v>
      </c>
      <c r="K429" s="4" t="s">
        <v>230</v>
      </c>
      <c r="L429" s="4" t="s">
        <v>66</v>
      </c>
      <c r="M429" s="4" t="s">
        <v>941</v>
      </c>
      <c r="N429" s="5" t="s">
        <v>942</v>
      </c>
      <c r="O429" s="4" t="s">
        <v>126</v>
      </c>
      <c r="P429" s="6">
        <f>IF(Table3[[#This Row],[Payment Status]]="Overdue",1,0)</f>
        <v>0</v>
      </c>
      <c r="Q429" s="10">
        <v>45750</v>
      </c>
      <c r="R429" s="4" t="s">
        <v>184</v>
      </c>
      <c r="S429" s="4" t="s">
        <v>41</v>
      </c>
    </row>
    <row r="430" spans="1:19" x14ac:dyDescent="0.3">
      <c r="A430" s="4" t="s">
        <v>860</v>
      </c>
      <c r="B430" s="4" t="s">
        <v>163</v>
      </c>
      <c r="C430" s="26" t="s">
        <v>937</v>
      </c>
      <c r="D430" s="14">
        <v>45710</v>
      </c>
      <c r="E430" s="24"/>
      <c r="F430" s="17" t="str">
        <f t="shared" si="6"/>
        <v>Feb-2025</v>
      </c>
      <c r="G430" s="2">
        <v>51892.59</v>
      </c>
      <c r="H430" s="26" t="s">
        <v>18</v>
      </c>
      <c r="I430" s="32">
        <v>18</v>
      </c>
      <c r="J430" s="2">
        <v>9340.67</v>
      </c>
      <c r="K430" s="4" t="s">
        <v>165</v>
      </c>
      <c r="L430" s="4" t="s">
        <v>54</v>
      </c>
      <c r="M430" s="4" t="s">
        <v>19</v>
      </c>
      <c r="N430" s="4" t="s">
        <v>26</v>
      </c>
      <c r="O430" s="4" t="s">
        <v>111</v>
      </c>
      <c r="P430" s="6">
        <f>IF(Table3[[#This Row],[Payment Status]]="Overdue",1,0)</f>
        <v>0</v>
      </c>
      <c r="Q430" s="11"/>
      <c r="R430" s="4" t="s">
        <v>62</v>
      </c>
      <c r="S430" s="4" t="s">
        <v>63</v>
      </c>
    </row>
    <row r="431" spans="1:19" x14ac:dyDescent="0.3">
      <c r="A431" s="4" t="s">
        <v>277</v>
      </c>
      <c r="B431" s="4" t="s">
        <v>153</v>
      </c>
      <c r="C431" s="26" t="s">
        <v>278</v>
      </c>
      <c r="D431" s="14">
        <v>45542</v>
      </c>
      <c r="E431" s="24"/>
      <c r="F431" s="17" t="str">
        <f t="shared" si="6"/>
        <v>Sep-2024</v>
      </c>
      <c r="G431" s="2">
        <v>84127.18</v>
      </c>
      <c r="H431" s="30" t="s">
        <v>941</v>
      </c>
      <c r="I431" s="32">
        <v>18</v>
      </c>
      <c r="J431" s="2">
        <v>15142.89</v>
      </c>
      <c r="K431" s="4" t="s">
        <v>53</v>
      </c>
      <c r="L431" s="4" t="s">
        <v>98</v>
      </c>
      <c r="M431" s="4" t="s">
        <v>19</v>
      </c>
      <c r="N431" s="5" t="s">
        <v>942</v>
      </c>
      <c r="O431" s="4" t="s">
        <v>126</v>
      </c>
      <c r="P431" s="6">
        <f>IF(Table3[[#This Row],[Payment Status]]="Overdue",1,0)</f>
        <v>0</v>
      </c>
      <c r="Q431" s="10">
        <v>45607</v>
      </c>
      <c r="R431" s="4" t="s">
        <v>20</v>
      </c>
      <c r="S431" s="4" t="s">
        <v>41</v>
      </c>
    </row>
    <row r="432" spans="1:19" x14ac:dyDescent="0.3">
      <c r="A432" s="4" t="s">
        <v>502</v>
      </c>
      <c r="B432" s="4" t="s">
        <v>137</v>
      </c>
      <c r="C432" s="26" t="s">
        <v>503</v>
      </c>
      <c r="D432" s="14">
        <v>45316</v>
      </c>
      <c r="E432" s="24"/>
      <c r="F432" s="17" t="str">
        <f t="shared" si="6"/>
        <v>Jan-2024</v>
      </c>
      <c r="G432" s="2">
        <v>25007.919999999998</v>
      </c>
      <c r="H432" s="26" t="s">
        <v>52</v>
      </c>
      <c r="I432" s="32">
        <v>28</v>
      </c>
      <c r="J432" s="2">
        <v>7002.22</v>
      </c>
      <c r="K432" s="4" t="s">
        <v>165</v>
      </c>
      <c r="L432" s="4" t="s">
        <v>60</v>
      </c>
      <c r="M432" s="4" t="s">
        <v>19</v>
      </c>
      <c r="N432" s="4" t="s">
        <v>80</v>
      </c>
      <c r="O432" s="4" t="s">
        <v>939</v>
      </c>
      <c r="P432" s="6">
        <f>IF(Table3[[#This Row],[Payment Status]]="Overdue",1,0)</f>
        <v>0</v>
      </c>
      <c r="Q432" s="11"/>
      <c r="R432" s="4" t="s">
        <v>40</v>
      </c>
      <c r="S432" s="4" t="s">
        <v>63</v>
      </c>
    </row>
    <row r="433" spans="1:19" x14ac:dyDescent="0.3">
      <c r="A433" s="4" t="s">
        <v>415</v>
      </c>
      <c r="B433" s="4" t="s">
        <v>47</v>
      </c>
      <c r="C433" s="26" t="s">
        <v>416</v>
      </c>
      <c r="D433" s="14">
        <v>45367</v>
      </c>
      <c r="E433" s="24"/>
      <c r="F433" s="17" t="str">
        <f t="shared" si="6"/>
        <v>Mar-2024</v>
      </c>
      <c r="G433" s="2">
        <v>63999.83</v>
      </c>
      <c r="H433" s="26" t="s">
        <v>18</v>
      </c>
      <c r="I433" s="32">
        <v>12</v>
      </c>
      <c r="J433" s="2">
        <v>7679.98</v>
      </c>
      <c r="K433" s="4" t="s">
        <v>53</v>
      </c>
      <c r="L433" s="4" t="s">
        <v>54</v>
      </c>
      <c r="M433" s="4" t="s">
        <v>19</v>
      </c>
      <c r="N433" s="5" t="s">
        <v>942</v>
      </c>
      <c r="O433" s="4" t="s">
        <v>939</v>
      </c>
      <c r="P433" s="6">
        <f>IF(Table3[[#This Row],[Payment Status]]="Overdue",1,0)</f>
        <v>0</v>
      </c>
      <c r="Q433" s="11"/>
      <c r="R433" s="4" t="s">
        <v>62</v>
      </c>
      <c r="S433" s="4" t="s">
        <v>41</v>
      </c>
    </row>
    <row r="434" spans="1:19" x14ac:dyDescent="0.3">
      <c r="A434" s="4" t="s">
        <v>578</v>
      </c>
      <c r="B434" s="4" t="s">
        <v>311</v>
      </c>
      <c r="C434" s="26" t="s">
        <v>938</v>
      </c>
      <c r="D434" s="14">
        <v>45423</v>
      </c>
      <c r="E434" s="24"/>
      <c r="F434" s="17" t="str">
        <f t="shared" si="6"/>
        <v>May-2024</v>
      </c>
      <c r="G434" s="2">
        <v>73048.679999999993</v>
      </c>
      <c r="H434" s="30" t="s">
        <v>941</v>
      </c>
      <c r="I434" s="32">
        <v>18</v>
      </c>
      <c r="J434" s="2">
        <v>13148.76</v>
      </c>
      <c r="K434" s="4" t="s">
        <v>44</v>
      </c>
      <c r="L434" s="4" t="s">
        <v>34</v>
      </c>
      <c r="M434" s="4" t="s">
        <v>61</v>
      </c>
      <c r="N434" s="5" t="s">
        <v>942</v>
      </c>
      <c r="O434" s="4" t="s">
        <v>126</v>
      </c>
      <c r="P434" s="6">
        <f>IF(Table3[[#This Row],[Payment Status]]="Overdue",1,0)</f>
        <v>0</v>
      </c>
      <c r="Q434" s="10">
        <v>45492</v>
      </c>
      <c r="R434" s="4" t="s">
        <v>62</v>
      </c>
      <c r="S434" s="4" t="s">
        <v>63</v>
      </c>
    </row>
    <row r="435" spans="1:19" x14ac:dyDescent="0.3">
      <c r="A435" s="4" t="s">
        <v>666</v>
      </c>
      <c r="B435" s="4" t="s">
        <v>155</v>
      </c>
      <c r="C435" s="26" t="s">
        <v>667</v>
      </c>
      <c r="D435" s="14">
        <v>45476</v>
      </c>
      <c r="E435" s="24"/>
      <c r="F435" s="17" t="str">
        <f t="shared" si="6"/>
        <v>Jul-2024</v>
      </c>
      <c r="G435" s="2">
        <v>17665.52</v>
      </c>
      <c r="H435" s="26" t="s">
        <v>18</v>
      </c>
      <c r="I435" s="32">
        <v>18</v>
      </c>
      <c r="J435" s="2">
        <v>3179.79</v>
      </c>
      <c r="K435" s="4" t="s">
        <v>106</v>
      </c>
      <c r="L435" s="4" t="s">
        <v>54</v>
      </c>
      <c r="M435" s="4" t="s">
        <v>25</v>
      </c>
      <c r="N435" s="4" t="s">
        <v>80</v>
      </c>
      <c r="O435" s="4" t="s">
        <v>92</v>
      </c>
      <c r="P435" s="6">
        <f>IF(Table3[[#This Row],[Payment Status]]="Overdue",1,0)</f>
        <v>1</v>
      </c>
      <c r="Q435" s="11"/>
      <c r="R435" s="4" t="s">
        <v>941</v>
      </c>
      <c r="S435" s="4" t="s">
        <v>41</v>
      </c>
    </row>
    <row r="436" spans="1:19" x14ac:dyDescent="0.3">
      <c r="A436" s="4" t="s">
        <v>841</v>
      </c>
      <c r="B436" s="4" t="s">
        <v>137</v>
      </c>
      <c r="C436" s="26" t="s">
        <v>842</v>
      </c>
      <c r="D436" s="14">
        <v>45388</v>
      </c>
      <c r="E436" s="24"/>
      <c r="F436" s="17" t="str">
        <f t="shared" si="6"/>
        <v>Apr-2024</v>
      </c>
      <c r="G436" s="2">
        <v>38046.800000000003</v>
      </c>
      <c r="H436" s="26" t="s">
        <v>18</v>
      </c>
      <c r="I436" s="32">
        <v>18</v>
      </c>
      <c r="J436" s="2">
        <v>6848.42</v>
      </c>
      <c r="K436" s="4" t="s">
        <v>33</v>
      </c>
      <c r="L436" s="4" t="s">
        <v>79</v>
      </c>
      <c r="M436" s="4" t="s">
        <v>19</v>
      </c>
      <c r="N436" s="4" t="s">
        <v>80</v>
      </c>
      <c r="O436" s="4" t="s">
        <v>27</v>
      </c>
      <c r="P436" s="6">
        <f>IF(Table3[[#This Row],[Payment Status]]="Overdue",1,0)</f>
        <v>0</v>
      </c>
      <c r="Q436" s="11"/>
      <c r="R436" s="4" t="s">
        <v>36</v>
      </c>
      <c r="S436" s="4" t="s">
        <v>63</v>
      </c>
    </row>
    <row r="437" spans="1:19" x14ac:dyDescent="0.3">
      <c r="A437" s="4" t="s">
        <v>867</v>
      </c>
      <c r="B437" s="4" t="s">
        <v>137</v>
      </c>
      <c r="C437" s="26" t="s">
        <v>868</v>
      </c>
      <c r="D437" s="14">
        <v>45359</v>
      </c>
      <c r="E437" s="24"/>
      <c r="F437" s="17" t="str">
        <f t="shared" si="6"/>
        <v>Mar-2024</v>
      </c>
      <c r="G437" s="2">
        <v>16816.73</v>
      </c>
      <c r="H437" s="30" t="s">
        <v>941</v>
      </c>
      <c r="I437" s="32">
        <v>0</v>
      </c>
      <c r="J437" s="2">
        <v>0</v>
      </c>
      <c r="K437" s="4" t="s">
        <v>165</v>
      </c>
      <c r="L437" s="4" t="s">
        <v>60</v>
      </c>
      <c r="M437" s="4" t="s">
        <v>941</v>
      </c>
      <c r="N437" s="5" t="s">
        <v>942</v>
      </c>
      <c r="O437" s="4" t="s">
        <v>939</v>
      </c>
      <c r="P437" s="6">
        <f>IF(Table3[[#This Row],[Payment Status]]="Overdue",1,0)</f>
        <v>0</v>
      </c>
      <c r="Q437" s="11"/>
      <c r="R437" s="4" t="s">
        <v>40</v>
      </c>
      <c r="S437" s="5" t="s">
        <v>941</v>
      </c>
    </row>
    <row r="438" spans="1:19" x14ac:dyDescent="0.3">
      <c r="A438" s="4" t="s">
        <v>514</v>
      </c>
      <c r="B438" s="4" t="s">
        <v>47</v>
      </c>
      <c r="C438" s="26" t="s">
        <v>515</v>
      </c>
      <c r="D438" s="14">
        <v>45816</v>
      </c>
      <c r="E438" s="24"/>
      <c r="F438" s="17" t="str">
        <f t="shared" si="6"/>
        <v>Jun-2025</v>
      </c>
      <c r="G438" s="2">
        <v>22567.360000000001</v>
      </c>
      <c r="H438" s="30" t="s">
        <v>941</v>
      </c>
      <c r="I438" s="32">
        <v>18</v>
      </c>
      <c r="J438" s="2">
        <v>4062.12</v>
      </c>
      <c r="K438" s="4" t="s">
        <v>106</v>
      </c>
      <c r="L438" s="4" t="s">
        <v>940</v>
      </c>
      <c r="M438" s="4" t="s">
        <v>39</v>
      </c>
      <c r="N438" s="4" t="s">
        <v>80</v>
      </c>
      <c r="O438" s="4" t="s">
        <v>126</v>
      </c>
      <c r="P438" s="6">
        <f>IF(Table3[[#This Row],[Payment Status]]="Overdue",1,0)</f>
        <v>0</v>
      </c>
      <c r="Q438" s="10">
        <v>45803</v>
      </c>
      <c r="R438" s="4" t="s">
        <v>28</v>
      </c>
      <c r="S438" s="4" t="s">
        <v>41</v>
      </c>
    </row>
    <row r="439" spans="1:19" x14ac:dyDescent="0.3">
      <c r="A439" s="4" t="s">
        <v>118</v>
      </c>
      <c r="B439" s="4" t="s">
        <v>77</v>
      </c>
      <c r="C439" s="26" t="s">
        <v>119</v>
      </c>
      <c r="D439" s="14">
        <v>45865</v>
      </c>
      <c r="E439" s="24"/>
      <c r="F439" s="17" t="str">
        <f t="shared" si="6"/>
        <v>Jul-2025</v>
      </c>
      <c r="G439" s="2">
        <v>40188.65</v>
      </c>
      <c r="H439" s="26" t="s">
        <v>52</v>
      </c>
      <c r="I439" s="32">
        <v>5</v>
      </c>
      <c r="J439" s="2">
        <v>2009.43</v>
      </c>
      <c r="K439" s="4" t="s">
        <v>53</v>
      </c>
      <c r="L439" s="4" t="s">
        <v>70</v>
      </c>
      <c r="M439" s="4" t="s">
        <v>55</v>
      </c>
      <c r="N439" s="5" t="s">
        <v>942</v>
      </c>
      <c r="O439" s="4" t="s">
        <v>111</v>
      </c>
      <c r="P439" s="6">
        <f>IF(Table3[[#This Row],[Payment Status]]="Overdue",1,0)</f>
        <v>0</v>
      </c>
      <c r="Q439" s="11"/>
      <c r="R439" s="4" t="s">
        <v>184</v>
      </c>
      <c r="S439" s="5" t="s">
        <v>941</v>
      </c>
    </row>
    <row r="440" spans="1:19" x14ac:dyDescent="0.3">
      <c r="A440" s="4" t="s">
        <v>146</v>
      </c>
      <c r="B440" s="4" t="s">
        <v>311</v>
      </c>
      <c r="C440" s="26" t="s">
        <v>147</v>
      </c>
      <c r="D440" s="14">
        <v>45684</v>
      </c>
      <c r="E440" s="24"/>
      <c r="F440" s="17" t="str">
        <f t="shared" si="6"/>
        <v>Jan-2025</v>
      </c>
      <c r="G440" s="2">
        <v>38307.71</v>
      </c>
      <c r="H440" s="26" t="s">
        <v>18</v>
      </c>
      <c r="I440" s="32">
        <v>18</v>
      </c>
      <c r="J440" s="2">
        <v>6895.39</v>
      </c>
      <c r="K440" s="4" t="s">
        <v>53</v>
      </c>
      <c r="L440" s="4" t="s">
        <v>66</v>
      </c>
      <c r="M440" s="4" t="s">
        <v>19</v>
      </c>
      <c r="N440" s="4" t="s">
        <v>26</v>
      </c>
      <c r="O440" s="4" t="s">
        <v>27</v>
      </c>
      <c r="P440" s="6">
        <f>IF(Table3[[#This Row],[Payment Status]]="Overdue",1,0)</f>
        <v>0</v>
      </c>
      <c r="Q440" s="11"/>
      <c r="R440" s="4" t="s">
        <v>36</v>
      </c>
      <c r="S440" s="4" t="s">
        <v>88</v>
      </c>
    </row>
    <row r="441" spans="1:19" x14ac:dyDescent="0.3">
      <c r="A441" s="4" t="s">
        <v>370</v>
      </c>
      <c r="B441" s="4" t="s">
        <v>77</v>
      </c>
      <c r="C441" s="26" t="s">
        <v>371</v>
      </c>
      <c r="D441" s="14">
        <v>45837</v>
      </c>
      <c r="E441" s="24"/>
      <c r="F441" s="17" t="str">
        <f t="shared" si="6"/>
        <v>Jun-2025</v>
      </c>
      <c r="G441" s="2">
        <v>9214.91</v>
      </c>
      <c r="H441" s="26" t="s">
        <v>18</v>
      </c>
      <c r="I441" s="32">
        <v>18</v>
      </c>
      <c r="J441" s="2">
        <v>1658.68</v>
      </c>
      <c r="K441" s="4" t="s">
        <v>73</v>
      </c>
      <c r="L441" s="4" t="s">
        <v>98</v>
      </c>
      <c r="M441" s="4" t="s">
        <v>61</v>
      </c>
      <c r="N441" s="4" t="s">
        <v>80</v>
      </c>
      <c r="O441" s="4" t="s">
        <v>25</v>
      </c>
      <c r="P441" s="6">
        <f>IF(Table3[[#This Row],[Payment Status]]="Overdue",1,0)</f>
        <v>0</v>
      </c>
      <c r="R441" s="4" t="s">
        <v>184</v>
      </c>
      <c r="S441" s="4" t="s">
        <v>63</v>
      </c>
    </row>
    <row r="442" spans="1:19" x14ac:dyDescent="0.3">
      <c r="A442" s="4" t="s">
        <v>403</v>
      </c>
      <c r="B442" s="4" t="s">
        <v>50</v>
      </c>
      <c r="C442" s="26" t="s">
        <v>404</v>
      </c>
      <c r="D442" s="14">
        <v>45507</v>
      </c>
      <c r="E442" s="24"/>
      <c r="F442" s="17" t="str">
        <f t="shared" si="6"/>
        <v>Aug-2024</v>
      </c>
      <c r="G442" s="2">
        <v>25507.9</v>
      </c>
      <c r="H442" s="26" t="s">
        <v>52</v>
      </c>
      <c r="I442" s="32">
        <v>12</v>
      </c>
      <c r="J442" s="2">
        <v>3060.95</v>
      </c>
      <c r="K442" s="4" t="s">
        <v>106</v>
      </c>
      <c r="L442" s="4" t="s">
        <v>70</v>
      </c>
      <c r="M442" s="4" t="s">
        <v>55</v>
      </c>
      <c r="N442" s="4" t="s">
        <v>26</v>
      </c>
      <c r="O442" s="4" t="s">
        <v>92</v>
      </c>
      <c r="P442" s="6">
        <f>IF(Table3[[#This Row],[Payment Status]]="Overdue",1,0)</f>
        <v>1</v>
      </c>
      <c r="Q442" s="11"/>
      <c r="R442" s="4" t="s">
        <v>184</v>
      </c>
      <c r="S442" s="4" t="s">
        <v>63</v>
      </c>
    </row>
    <row r="443" spans="1:19" x14ac:dyDescent="0.3">
      <c r="A443" s="4" t="s">
        <v>606</v>
      </c>
      <c r="B443" s="4" t="s">
        <v>924</v>
      </c>
      <c r="C443" s="27"/>
      <c r="D443" s="14">
        <v>45360</v>
      </c>
      <c r="E443" s="24"/>
      <c r="F443" s="17" t="str">
        <f t="shared" si="6"/>
        <v>Mar-2024</v>
      </c>
      <c r="G443" s="2">
        <v>36409.03</v>
      </c>
      <c r="H443" s="26" t="s">
        <v>72</v>
      </c>
      <c r="I443" s="32">
        <v>28</v>
      </c>
      <c r="J443" s="2">
        <v>10194.530000000001</v>
      </c>
      <c r="K443" s="4" t="s">
        <v>106</v>
      </c>
      <c r="L443" s="4" t="s">
        <v>54</v>
      </c>
      <c r="M443" s="4" t="s">
        <v>39</v>
      </c>
      <c r="N443" s="5" t="s">
        <v>942</v>
      </c>
      <c r="O443" s="4" t="s">
        <v>111</v>
      </c>
      <c r="P443" s="6">
        <f>IF(Table3[[#This Row],[Payment Status]]="Overdue",1,0)</f>
        <v>0</v>
      </c>
      <c r="Q443" s="11"/>
      <c r="R443" s="4" t="s">
        <v>62</v>
      </c>
      <c r="S443" s="4" t="s">
        <v>41</v>
      </c>
    </row>
    <row r="444" spans="1:19" x14ac:dyDescent="0.3">
      <c r="A444" s="4" t="s">
        <v>914</v>
      </c>
      <c r="B444" s="4" t="s">
        <v>163</v>
      </c>
      <c r="C444" s="26" t="s">
        <v>114</v>
      </c>
      <c r="D444" s="14">
        <v>45554</v>
      </c>
      <c r="E444" s="24"/>
      <c r="F444" s="17" t="str">
        <f t="shared" si="6"/>
        <v>Sep-2024</v>
      </c>
      <c r="G444" s="2">
        <v>19225.080000000002</v>
      </c>
      <c r="H444" s="26" t="s">
        <v>52</v>
      </c>
      <c r="I444" s="32">
        <v>0</v>
      </c>
      <c r="J444" s="2">
        <v>0</v>
      </c>
      <c r="K444" s="4" t="s">
        <v>66</v>
      </c>
      <c r="L444" s="4" t="s">
        <v>66</v>
      </c>
      <c r="M444" s="4" t="s">
        <v>39</v>
      </c>
      <c r="N444" s="4" t="s">
        <v>91</v>
      </c>
      <c r="O444" s="4" t="s">
        <v>27</v>
      </c>
      <c r="P444" s="6">
        <f>IF(Table3[[#This Row],[Payment Status]]="Overdue",1,0)</f>
        <v>0</v>
      </c>
      <c r="Q444" s="11"/>
      <c r="R444" s="4" t="s">
        <v>62</v>
      </c>
      <c r="S444" s="4" t="s">
        <v>88</v>
      </c>
    </row>
  </sheetData>
  <phoneticPr fontId="5" type="noConversion"/>
  <conditionalFormatting sqref="A2:A444">
    <cfRule type="duplicateValues" dxfId="0" priority="8"/>
  </conditionalFormatting>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Pivot_tbl</vt:lpstr>
      <vt:lpstr>KPI&amp;Filters</vt:lpstr>
      <vt:lpstr>Raw_Invoice_Data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Latha D</cp:lastModifiedBy>
  <dcterms:created xsi:type="dcterms:W3CDTF">2026-09-23T20:21:19Z</dcterms:created>
  <dcterms:modified xsi:type="dcterms:W3CDTF">2026-10-05T05:27:49Z</dcterms:modified>
</cp:coreProperties>
</file>